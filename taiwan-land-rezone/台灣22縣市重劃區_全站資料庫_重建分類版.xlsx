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結TOC" sheetId="1" state="visible" r:id="rId1"/>
    <sheet xmlns:r="http://schemas.openxmlformats.org/officeDocument/2006/relationships" name="主庫_重劃區146區" sheetId="2" state="visible" r:id="rId2"/>
    <sheet xmlns:r="http://schemas.openxmlformats.org/officeDocument/2006/relationships" name="建案總表_642案" sheetId="3" state="visible" r:id="rId3"/>
    <sheet xmlns:r="http://schemas.openxmlformats.org/officeDocument/2006/relationships" name="重劃區清單_含內頁連結" sheetId="4" state="visible" r:id="rId4"/>
    <sheet xmlns:r="http://schemas.openxmlformats.org/officeDocument/2006/relationships" name="縣市索引_22縣市" sheetId="5" state="visible" r:id="rId5"/>
    <sheet xmlns:r="http://schemas.openxmlformats.org/officeDocument/2006/relationships" name="檔案清單_網站目錄樹" sheetId="6" state="visible" r:id="rId6"/>
    <sheet xmlns:r="http://schemas.openxmlformats.org/officeDocument/2006/relationships" name="改前快照對照" sheetId="7" state="visible" r:id="rId7"/>
    <sheet xmlns:r="http://schemas.openxmlformats.org/officeDocument/2006/relationships" name="研究說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  <font>
      <name val="微軟正黑體"/>
      <color rgb="000563C1"/>
      <sz val="10"/>
      <u val="single"/>
    </font>
    <font>
      <name val="微軟正黑體"/>
      <b val="1"/>
      <color rgb="0022395A"/>
      <sz val="11"/>
    </font>
  </fonts>
  <fills count="4">
    <fill>
      <patternFill/>
    </fill>
    <fill>
      <patternFill patternType="gray125"/>
    </fill>
    <fill>
      <patternFill patternType="solid">
        <fgColor rgb="0022395A"/>
      </patternFill>
    </fill>
    <fill>
      <patternFill patternType="solid">
        <fgColor rgb="00D6E0F0"/>
      </patternFill>
    </fill>
  </fills>
  <borders count="2">
    <border>
      <left/>
      <right/>
      <top/>
      <bottom/>
      <diagonal/>
    </border>
    <border>
      <left style="thin">
        <color rgb="00DCD8CC"/>
      </left>
      <right style="thin">
        <color rgb="00DCD8CC"/>
      </right>
      <top style="thin">
        <color rgb="00DCD8CC"/>
      </top>
      <bottom style="thin">
        <color rgb="00DCD8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6899;&#32080;TOC'!A1" TargetMode="External" Id="rId1"/><Relationship Type="http://schemas.openxmlformats.org/officeDocument/2006/relationships/hyperlink" Target="#'&#20027;&#24235;_&#37325;&#21123;&#21312;146&#21312;'!A1" TargetMode="External" Id="rId2"/><Relationship Type="http://schemas.openxmlformats.org/officeDocument/2006/relationships/hyperlink" Target="#'&#24314;&#26696;&#32317;&#34920;_642&#26696;'!A1" TargetMode="External" Id="rId3"/><Relationship Type="http://schemas.openxmlformats.org/officeDocument/2006/relationships/hyperlink" Target="#'&#37325;&#21123;&#21312;&#28165;&#21934;_&#21547;&#20839;&#38913;&#36899;&#32080;'!A1" TargetMode="External" Id="rId4"/><Relationship Type="http://schemas.openxmlformats.org/officeDocument/2006/relationships/hyperlink" Target="#'&#32291;&#24066;&#32034;&#24341;_22&#32291;&#24066;'!A1" TargetMode="External" Id="rId5"/><Relationship Type="http://schemas.openxmlformats.org/officeDocument/2006/relationships/hyperlink" Target="#'&#27284;&#26696;&#28165;&#21934;_&#32178;&#31449;&#30446;&#37636;&#27193;'!A1" TargetMode="External" Id="rId6"/><Relationship Type="http://schemas.openxmlformats.org/officeDocument/2006/relationships/hyperlink" Target="#'&#25913;&#21069;&#24555;&#29031;&#23565;&#29031;'!A1" TargetMode="External" Id="rId7"/><Relationship Type="http://schemas.openxmlformats.org/officeDocument/2006/relationships/hyperlink" Target="#'&#30740;&#31350;&#35498;&#26126;'!A1" TargetMode="External" Id="rId8"/><Relationship Type="http://schemas.openxmlformats.org/officeDocument/2006/relationships/hyperlink" Target="&#21488;&#28771;22&#32291;&#24066;&#37325;&#21123;&#21312;_&#20840;&#31449;&#36039;&#26009;&#24235;.xlsx" TargetMode="External" Id="rId9"/><Relationship Type="http://schemas.openxmlformats.org/officeDocument/2006/relationships/hyperlink" Target="&#21488;&#28771;22&#32291;&#24066;&#37325;&#21123;&#21312;_&#20840;&#31449;&#36039;&#26009;&#24235;_&#25913;&#21069;&#24555;&#29031;_20261017.xlsx" TargetMode="External" Id="rId10"/><Relationship Type="http://schemas.openxmlformats.org/officeDocument/2006/relationships/hyperlink" Target="&#21488;&#28771;22&#32291;&#24066;&#37325;&#21123;&#21312;_&#20840;&#31449;&#36039;&#26009;&#24235;_&#25972;&#21512;&#29256;.xlsx" TargetMode="External" Id="rId11"/><Relationship Type="http://schemas.openxmlformats.org/officeDocument/2006/relationships/hyperlink" Target="taipei/index.html" TargetMode="External" Id="rId12"/><Relationship Type="http://schemas.openxmlformats.org/officeDocument/2006/relationships/hyperlink" Target="taipei/public-urban-land-readjustment.html" TargetMode="External" Id="rId13"/><Relationship Type="http://schemas.openxmlformats.org/officeDocument/2006/relationships/hyperlink" Target="taipei/private-urban-land-readjustment.html" TargetMode="External" Id="rId14"/><Relationship Type="http://schemas.openxmlformats.org/officeDocument/2006/relationships/hyperlink" Target="taipei/zone-expropriation.html" TargetMode="External" Id="rId15"/><Relationship Type="http://schemas.openxmlformats.org/officeDocument/2006/relationships/hyperlink" Target="taipei/urban-renewal.html" TargetMode="External" Id="rId16"/><Relationship Type="http://schemas.openxmlformats.org/officeDocument/2006/relationships/hyperlink" Target="new-taipei/index.html" TargetMode="External" Id="rId17"/><Relationship Type="http://schemas.openxmlformats.org/officeDocument/2006/relationships/hyperlink" Target="new-taipei/public-urban-land-readjustment.html" TargetMode="External" Id="rId18"/><Relationship Type="http://schemas.openxmlformats.org/officeDocument/2006/relationships/hyperlink" Target="new-taipei/private-urban-land-readjustment.html" TargetMode="External" Id="rId19"/><Relationship Type="http://schemas.openxmlformats.org/officeDocument/2006/relationships/hyperlink" Target="new-taipei/zone-expropriation.html" TargetMode="External" Id="rId20"/><Relationship Type="http://schemas.openxmlformats.org/officeDocument/2006/relationships/hyperlink" Target="new-taipei/urban-renewal.html" TargetMode="External" Id="rId21"/><Relationship Type="http://schemas.openxmlformats.org/officeDocument/2006/relationships/hyperlink" Target="taoyuan/index.html" TargetMode="External" Id="rId22"/><Relationship Type="http://schemas.openxmlformats.org/officeDocument/2006/relationships/hyperlink" Target="taoyuan/public-urban-land-readjustment.html" TargetMode="External" Id="rId23"/><Relationship Type="http://schemas.openxmlformats.org/officeDocument/2006/relationships/hyperlink" Target="taoyuan/private-urban-land-readjustment.html" TargetMode="External" Id="rId24"/><Relationship Type="http://schemas.openxmlformats.org/officeDocument/2006/relationships/hyperlink" Target="taoyuan/zone-expropriation.html" TargetMode="External" Id="rId25"/><Relationship Type="http://schemas.openxmlformats.org/officeDocument/2006/relationships/hyperlink" Target="taoyuan/urban-renewal.html" TargetMode="External" Id="rId26"/><Relationship Type="http://schemas.openxmlformats.org/officeDocument/2006/relationships/hyperlink" Target="taichung/index.html" TargetMode="External" Id="rId27"/><Relationship Type="http://schemas.openxmlformats.org/officeDocument/2006/relationships/hyperlink" Target="taichung/public-urban-land-readjustment.html" TargetMode="External" Id="rId28"/><Relationship Type="http://schemas.openxmlformats.org/officeDocument/2006/relationships/hyperlink" Target="taichung/private-urban-land-readjustment.html" TargetMode="External" Id="rId29"/><Relationship Type="http://schemas.openxmlformats.org/officeDocument/2006/relationships/hyperlink" Target="taichung/zone-expropriation.html" TargetMode="External" Id="rId30"/><Relationship Type="http://schemas.openxmlformats.org/officeDocument/2006/relationships/hyperlink" Target="taichung/urban-renewal.html" TargetMode="External" Id="rId31"/><Relationship Type="http://schemas.openxmlformats.org/officeDocument/2006/relationships/hyperlink" Target="tainan/index.html" TargetMode="External" Id="rId32"/><Relationship Type="http://schemas.openxmlformats.org/officeDocument/2006/relationships/hyperlink" Target="tainan/public-urban-land-readjustment.html" TargetMode="External" Id="rId33"/><Relationship Type="http://schemas.openxmlformats.org/officeDocument/2006/relationships/hyperlink" Target="tainan/private-urban-land-readjustment.html" TargetMode="External" Id="rId34"/><Relationship Type="http://schemas.openxmlformats.org/officeDocument/2006/relationships/hyperlink" Target="tainan/zone-expropriation.html" TargetMode="External" Id="rId35"/><Relationship Type="http://schemas.openxmlformats.org/officeDocument/2006/relationships/hyperlink" Target="tainan/urban-renewal.html" TargetMode="External" Id="rId36"/><Relationship Type="http://schemas.openxmlformats.org/officeDocument/2006/relationships/hyperlink" Target="kaohsiung/index.html" TargetMode="External" Id="rId37"/><Relationship Type="http://schemas.openxmlformats.org/officeDocument/2006/relationships/hyperlink" Target="kaohsiung/public-urban-land-readjustment.html" TargetMode="External" Id="rId38"/><Relationship Type="http://schemas.openxmlformats.org/officeDocument/2006/relationships/hyperlink" Target="kaohsiung/private-urban-land-readjustment.html" TargetMode="External" Id="rId39"/><Relationship Type="http://schemas.openxmlformats.org/officeDocument/2006/relationships/hyperlink" Target="kaohsiung/zone-expropriation.html" TargetMode="External" Id="rId40"/><Relationship Type="http://schemas.openxmlformats.org/officeDocument/2006/relationships/hyperlink" Target="kaohsiung/urban-renewal.html" TargetMode="External" Id="rId41"/><Relationship Type="http://schemas.openxmlformats.org/officeDocument/2006/relationships/hyperlink" Target="keelung/index.html" TargetMode="External" Id="rId42"/><Relationship Type="http://schemas.openxmlformats.org/officeDocument/2006/relationships/hyperlink" Target="keelung/public-urban-land-readjustment.html" TargetMode="External" Id="rId43"/><Relationship Type="http://schemas.openxmlformats.org/officeDocument/2006/relationships/hyperlink" Target="keelung/private-urban-land-readjustment.html" TargetMode="External" Id="rId44"/><Relationship Type="http://schemas.openxmlformats.org/officeDocument/2006/relationships/hyperlink" Target="keelung/zone-expropriation.html" TargetMode="External" Id="rId45"/><Relationship Type="http://schemas.openxmlformats.org/officeDocument/2006/relationships/hyperlink" Target="keelung/urban-renewal.html" TargetMode="External" Id="rId46"/><Relationship Type="http://schemas.openxmlformats.org/officeDocument/2006/relationships/hyperlink" Target="hsinchu-city/index.html" TargetMode="External" Id="rId47"/><Relationship Type="http://schemas.openxmlformats.org/officeDocument/2006/relationships/hyperlink" Target="hsinchu-city/public-urban-land-readjustment.html" TargetMode="External" Id="rId48"/><Relationship Type="http://schemas.openxmlformats.org/officeDocument/2006/relationships/hyperlink" Target="hsinchu-city/private-urban-land-readjustment.html" TargetMode="External" Id="rId49"/><Relationship Type="http://schemas.openxmlformats.org/officeDocument/2006/relationships/hyperlink" Target="hsinchu-city/zone-expropriation.html" TargetMode="External" Id="rId50"/><Relationship Type="http://schemas.openxmlformats.org/officeDocument/2006/relationships/hyperlink" Target="hsinchu-city/urban-renewal.html" TargetMode="External" Id="rId51"/><Relationship Type="http://schemas.openxmlformats.org/officeDocument/2006/relationships/hyperlink" Target="hsinchu-county/index.html" TargetMode="External" Id="rId52"/><Relationship Type="http://schemas.openxmlformats.org/officeDocument/2006/relationships/hyperlink" Target="hsinchu-county/public-urban-land-readjustment.html" TargetMode="External" Id="rId53"/><Relationship Type="http://schemas.openxmlformats.org/officeDocument/2006/relationships/hyperlink" Target="hsinchu-county/private-urban-land-readjustment.html" TargetMode="External" Id="rId54"/><Relationship Type="http://schemas.openxmlformats.org/officeDocument/2006/relationships/hyperlink" Target="hsinchu-county/zone-expropriation.html" TargetMode="External" Id="rId55"/><Relationship Type="http://schemas.openxmlformats.org/officeDocument/2006/relationships/hyperlink" Target="hsinchu-county/urban-renewal.html" TargetMode="External" Id="rId56"/><Relationship Type="http://schemas.openxmlformats.org/officeDocument/2006/relationships/hyperlink" Target="miaoli/index.html" TargetMode="External" Id="rId57"/><Relationship Type="http://schemas.openxmlformats.org/officeDocument/2006/relationships/hyperlink" Target="miaoli/public-urban-land-readjustment.html" TargetMode="External" Id="rId58"/><Relationship Type="http://schemas.openxmlformats.org/officeDocument/2006/relationships/hyperlink" Target="miaoli/private-urban-land-readjustment.html" TargetMode="External" Id="rId59"/><Relationship Type="http://schemas.openxmlformats.org/officeDocument/2006/relationships/hyperlink" Target="miaoli/zone-expropriation.html" TargetMode="External" Id="rId60"/><Relationship Type="http://schemas.openxmlformats.org/officeDocument/2006/relationships/hyperlink" Target="miaoli/urban-renewal.html" TargetMode="External" Id="rId61"/><Relationship Type="http://schemas.openxmlformats.org/officeDocument/2006/relationships/hyperlink" Target="yilan/index.html" TargetMode="External" Id="rId62"/><Relationship Type="http://schemas.openxmlformats.org/officeDocument/2006/relationships/hyperlink" Target="yilan/public-urban-land-readjustment.html" TargetMode="External" Id="rId63"/><Relationship Type="http://schemas.openxmlformats.org/officeDocument/2006/relationships/hyperlink" Target="yilan/private-urban-land-readjustment.html" TargetMode="External" Id="rId64"/><Relationship Type="http://schemas.openxmlformats.org/officeDocument/2006/relationships/hyperlink" Target="yilan/zone-expropriation.html" TargetMode="External" Id="rId65"/><Relationship Type="http://schemas.openxmlformats.org/officeDocument/2006/relationships/hyperlink" Target="yilan/urban-renewal.html" TargetMode="External" Id="rId66"/><Relationship Type="http://schemas.openxmlformats.org/officeDocument/2006/relationships/hyperlink" Target="changhua/index.html" TargetMode="External" Id="rId67"/><Relationship Type="http://schemas.openxmlformats.org/officeDocument/2006/relationships/hyperlink" Target="changhua/public-urban-land-readjustment.html" TargetMode="External" Id="rId68"/><Relationship Type="http://schemas.openxmlformats.org/officeDocument/2006/relationships/hyperlink" Target="changhua/private-urban-land-readjustment.html" TargetMode="External" Id="rId69"/><Relationship Type="http://schemas.openxmlformats.org/officeDocument/2006/relationships/hyperlink" Target="changhua/zone-expropriation.html" TargetMode="External" Id="rId70"/><Relationship Type="http://schemas.openxmlformats.org/officeDocument/2006/relationships/hyperlink" Target="changhua/urban-renewal.html" TargetMode="External" Id="rId71"/><Relationship Type="http://schemas.openxmlformats.org/officeDocument/2006/relationships/hyperlink" Target="nantou/index.html" TargetMode="External" Id="rId72"/><Relationship Type="http://schemas.openxmlformats.org/officeDocument/2006/relationships/hyperlink" Target="nantou/public-urban-land-readjustment.html" TargetMode="External" Id="rId73"/><Relationship Type="http://schemas.openxmlformats.org/officeDocument/2006/relationships/hyperlink" Target="nantou/private-urban-land-readjustment.html" TargetMode="External" Id="rId74"/><Relationship Type="http://schemas.openxmlformats.org/officeDocument/2006/relationships/hyperlink" Target="nantou/zone-expropriation.html" TargetMode="External" Id="rId75"/><Relationship Type="http://schemas.openxmlformats.org/officeDocument/2006/relationships/hyperlink" Target="nantou/urban-renewal.html" TargetMode="External" Id="rId76"/><Relationship Type="http://schemas.openxmlformats.org/officeDocument/2006/relationships/hyperlink" Target="yunlin/index.html" TargetMode="External" Id="rId77"/><Relationship Type="http://schemas.openxmlformats.org/officeDocument/2006/relationships/hyperlink" Target="yunlin/public-urban-land-readjustment.html" TargetMode="External" Id="rId78"/><Relationship Type="http://schemas.openxmlformats.org/officeDocument/2006/relationships/hyperlink" Target="yunlin/private-urban-land-readjustment.html" TargetMode="External" Id="rId79"/><Relationship Type="http://schemas.openxmlformats.org/officeDocument/2006/relationships/hyperlink" Target="yunlin/zone-expropriation.html" TargetMode="External" Id="rId80"/><Relationship Type="http://schemas.openxmlformats.org/officeDocument/2006/relationships/hyperlink" Target="yunlin/urban-renewal.html" TargetMode="External" Id="rId81"/><Relationship Type="http://schemas.openxmlformats.org/officeDocument/2006/relationships/hyperlink" Target="chiayi-city/index.html" TargetMode="External" Id="rId82"/><Relationship Type="http://schemas.openxmlformats.org/officeDocument/2006/relationships/hyperlink" Target="chiayi-city/public-urban-land-readjustment.html" TargetMode="External" Id="rId83"/><Relationship Type="http://schemas.openxmlformats.org/officeDocument/2006/relationships/hyperlink" Target="chiayi-city/private-urban-land-readjustment.html" TargetMode="External" Id="rId84"/><Relationship Type="http://schemas.openxmlformats.org/officeDocument/2006/relationships/hyperlink" Target="chiayi-city/zone-expropriation.html" TargetMode="External" Id="rId85"/><Relationship Type="http://schemas.openxmlformats.org/officeDocument/2006/relationships/hyperlink" Target="chiayi-city/urban-renewal.html" TargetMode="External" Id="rId86"/><Relationship Type="http://schemas.openxmlformats.org/officeDocument/2006/relationships/hyperlink" Target="chiayi-county/index.html" TargetMode="External" Id="rId87"/><Relationship Type="http://schemas.openxmlformats.org/officeDocument/2006/relationships/hyperlink" Target="chiayi-county/public-urban-land-readjustment.html" TargetMode="External" Id="rId88"/><Relationship Type="http://schemas.openxmlformats.org/officeDocument/2006/relationships/hyperlink" Target="chiayi-county/private-urban-land-readjustment.html" TargetMode="External" Id="rId89"/><Relationship Type="http://schemas.openxmlformats.org/officeDocument/2006/relationships/hyperlink" Target="chiayi-county/zone-expropriation.html" TargetMode="External" Id="rId90"/><Relationship Type="http://schemas.openxmlformats.org/officeDocument/2006/relationships/hyperlink" Target="chiayi-county/urban-renewal.html" TargetMode="External" Id="rId91"/><Relationship Type="http://schemas.openxmlformats.org/officeDocument/2006/relationships/hyperlink" Target="pingtung/index.html" TargetMode="External" Id="rId92"/><Relationship Type="http://schemas.openxmlformats.org/officeDocument/2006/relationships/hyperlink" Target="pingtung/public-urban-land-readjustment.html" TargetMode="External" Id="rId93"/><Relationship Type="http://schemas.openxmlformats.org/officeDocument/2006/relationships/hyperlink" Target="pingtung/private-urban-land-readjustment.html" TargetMode="External" Id="rId94"/><Relationship Type="http://schemas.openxmlformats.org/officeDocument/2006/relationships/hyperlink" Target="pingtung/zone-expropriation.html" TargetMode="External" Id="rId95"/><Relationship Type="http://schemas.openxmlformats.org/officeDocument/2006/relationships/hyperlink" Target="pingtung/urban-renewal.html" TargetMode="External" Id="rId96"/><Relationship Type="http://schemas.openxmlformats.org/officeDocument/2006/relationships/hyperlink" Target="hualien/index.html" TargetMode="External" Id="rId97"/><Relationship Type="http://schemas.openxmlformats.org/officeDocument/2006/relationships/hyperlink" Target="hualien/public-urban-land-readjustment.html" TargetMode="External" Id="rId98"/><Relationship Type="http://schemas.openxmlformats.org/officeDocument/2006/relationships/hyperlink" Target="hualien/private-urban-land-readjustment.html" TargetMode="External" Id="rId99"/><Relationship Type="http://schemas.openxmlformats.org/officeDocument/2006/relationships/hyperlink" Target="hualien/zone-expropriation.html" TargetMode="External" Id="rId100"/><Relationship Type="http://schemas.openxmlformats.org/officeDocument/2006/relationships/hyperlink" Target="hualien/urban-renewal.html" TargetMode="External" Id="rId101"/><Relationship Type="http://schemas.openxmlformats.org/officeDocument/2006/relationships/hyperlink" Target="taitung/index.html" TargetMode="External" Id="rId102"/><Relationship Type="http://schemas.openxmlformats.org/officeDocument/2006/relationships/hyperlink" Target="taitung/public-urban-land-readjustment.html" TargetMode="External" Id="rId103"/><Relationship Type="http://schemas.openxmlformats.org/officeDocument/2006/relationships/hyperlink" Target="taitung/private-urban-land-readjustment.html" TargetMode="External" Id="rId104"/><Relationship Type="http://schemas.openxmlformats.org/officeDocument/2006/relationships/hyperlink" Target="taitung/zone-expropriation.html" TargetMode="External" Id="rId105"/><Relationship Type="http://schemas.openxmlformats.org/officeDocument/2006/relationships/hyperlink" Target="taitung/urban-renewal.html" TargetMode="External" Id="rId106"/><Relationship Type="http://schemas.openxmlformats.org/officeDocument/2006/relationships/hyperlink" Target="penghu/index.html" TargetMode="External" Id="rId107"/><Relationship Type="http://schemas.openxmlformats.org/officeDocument/2006/relationships/hyperlink" Target="penghu/public-urban-land-readjustment.html" TargetMode="External" Id="rId108"/><Relationship Type="http://schemas.openxmlformats.org/officeDocument/2006/relationships/hyperlink" Target="penghu/private-urban-land-readjustment.html" TargetMode="External" Id="rId109"/><Relationship Type="http://schemas.openxmlformats.org/officeDocument/2006/relationships/hyperlink" Target="penghu/zone-expropriation.html" TargetMode="External" Id="rId110"/><Relationship Type="http://schemas.openxmlformats.org/officeDocument/2006/relationships/hyperlink" Target="penghu/urban-renewal.html" TargetMode="External" Id="rId111"/><Relationship Type="http://schemas.openxmlformats.org/officeDocument/2006/relationships/hyperlink" Target="kinmen/index.html" TargetMode="External" Id="rId112"/><Relationship Type="http://schemas.openxmlformats.org/officeDocument/2006/relationships/hyperlink" Target="kinmen/public-urban-land-readjustment.html" TargetMode="External" Id="rId113"/><Relationship Type="http://schemas.openxmlformats.org/officeDocument/2006/relationships/hyperlink" Target="kinmen/private-urban-land-readjustment.html" TargetMode="External" Id="rId114"/><Relationship Type="http://schemas.openxmlformats.org/officeDocument/2006/relationships/hyperlink" Target="kinmen/zone-expropriation.html" TargetMode="External" Id="rId115"/><Relationship Type="http://schemas.openxmlformats.org/officeDocument/2006/relationships/hyperlink" Target="kinmen/urban-renewal.html" TargetMode="External" Id="rId116"/><Relationship Type="http://schemas.openxmlformats.org/officeDocument/2006/relationships/hyperlink" Target="lienchiang/index.html" TargetMode="External" Id="rId117"/><Relationship Type="http://schemas.openxmlformats.org/officeDocument/2006/relationships/hyperlink" Target="lienchiang/public-urban-land-readjustment.html" TargetMode="External" Id="rId118"/><Relationship Type="http://schemas.openxmlformats.org/officeDocument/2006/relationships/hyperlink" Target="lienchiang/private-urban-land-readjustment.html" TargetMode="External" Id="rId119"/><Relationship Type="http://schemas.openxmlformats.org/officeDocument/2006/relationships/hyperlink" Target="lienchiang/zone-expropriation.html" TargetMode="External" Id="rId120"/><Relationship Type="http://schemas.openxmlformats.org/officeDocument/2006/relationships/hyperlink" Target="lienchiang/urban-renewal.html" TargetMode="External" Id="rId121"/><Relationship Type="http://schemas.openxmlformats.org/officeDocument/2006/relationships/hyperlink" Target="taipei/&#21335;&#28207;&#20844;&#36774;&#37325;&#21123;.html" TargetMode="External" Id="rId122"/><Relationship Type="http://schemas.openxmlformats.org/officeDocument/2006/relationships/hyperlink" Target="taipei/&#20839;&#28246;&#23567;&#22411;&#20844;&#36774;&#37325;&#21123;.html" TargetMode="External" Id="rId123"/><Relationship Type="http://schemas.openxmlformats.org/officeDocument/2006/relationships/hyperlink" Target="taipei/&#38646;&#26143;&#23567;&#22411;&#33258;&#36774;&#26696;.html" TargetMode="External" Id="rId124"/><Relationship Type="http://schemas.openxmlformats.org/officeDocument/2006/relationships/hyperlink" Target="taipei/&#35199;&#38272;&#20844;&#36774;&#37117;&#26356;.html" TargetMode="External" Id="rId125"/><Relationship Type="http://schemas.openxmlformats.org/officeDocument/2006/relationships/hyperlink" Target="taipei/&#21335;&#28207;&#20844;&#36774;&#37117;&#26356;.html" TargetMode="External" Id="rId126"/><Relationship Type="http://schemas.openxmlformats.org/officeDocument/2006/relationships/hyperlink" Target="taipei/&#33836;&#33775;&#20844;&#36774;&#37117;&#26356;.html" TargetMode="External" Id="rId127"/><Relationship Type="http://schemas.openxmlformats.org/officeDocument/2006/relationships/hyperlink" Target="new-taipei/&#22637;&#20180;&#22323;&#37325;&#21123;.html" TargetMode="External" Id="rId128"/><Relationship Type="http://schemas.openxmlformats.org/officeDocument/2006/relationships/hyperlink" Target="new-taipei/&#22303;&#22478;&#26283;&#32233;&#30332;&#23637;&#21312;&#37325;&#21123;.html" TargetMode="External" Id="rId129"/><Relationship Type="http://schemas.openxmlformats.org/officeDocument/2006/relationships/hyperlink" Target="new-taipei/&#26495;&#27211;&#28014;&#27954;&#37325;&#21123;.html" TargetMode="External" Id="rId130"/><Relationship Type="http://schemas.openxmlformats.org/officeDocument/2006/relationships/hyperlink" Target="new-taipei/&#20854;&#20182;&#20013;&#23567;&#22411;&#20844;&#36774;&#26696;.html" TargetMode="External" Id="rId131"/><Relationship Type="http://schemas.openxmlformats.org/officeDocument/2006/relationships/hyperlink" Target="new-taipei/&#19977;&#23805;&#33258;&#36774;&#37325;&#21123;&#32676;.html" TargetMode="External" Id="rId132"/><Relationship Type="http://schemas.openxmlformats.org/officeDocument/2006/relationships/hyperlink" Target="new-taipei/&#20013;&#21644;&#33258;&#36774;&#37325;&#21123;.html" TargetMode="External" Id="rId133"/><Relationship Type="http://schemas.openxmlformats.org/officeDocument/2006/relationships/hyperlink" Target="new-taipei/&#27193;&#26519;&#33258;&#36774;&#37325;&#21123;.html" TargetMode="External" Id="rId134"/><Relationship Type="http://schemas.openxmlformats.org/officeDocument/2006/relationships/hyperlink" Target="new-taipei/&#26519;&#21475;&#26032;&#24066;&#37806;.html" TargetMode="External" Id="rId135"/><Relationship Type="http://schemas.openxmlformats.org/officeDocument/2006/relationships/hyperlink" Target="new-taipei/&#28129;&#28023;&#26032;&#24066;&#37806;.html" TargetMode="External" Id="rId136"/><Relationship Type="http://schemas.openxmlformats.org/officeDocument/2006/relationships/hyperlink" Target="new-taipei/&#20108;&#37325;&#30095;&#27946;&#36947;&#21312;&#27573;&#24501;&#25910;.html" TargetMode="External" Id="rId137"/><Relationship Type="http://schemas.openxmlformats.org/officeDocument/2006/relationships/hyperlink" Target="new-taipei/&#26495;&#27211;&#33290;&#24066;&#21312;&#20844;&#36774;&#37117;&#26356;.html" TargetMode="External" Id="rId138"/><Relationship Type="http://schemas.openxmlformats.org/officeDocument/2006/relationships/hyperlink" Target="taoyuan/&#20843;&#24503;&#25844;&#22823;&#37325;&#21123;.html" TargetMode="External" Id="rId139"/><Relationship Type="http://schemas.openxmlformats.org/officeDocument/2006/relationships/hyperlink" Target="taoyuan/&#24179;&#37806;&#20844;&#36774;&#37325;&#21123;.html" TargetMode="External" Id="rId140"/><Relationship Type="http://schemas.openxmlformats.org/officeDocument/2006/relationships/hyperlink" Target="taoyuan/&#26954;&#26757;&#20844;&#36774;&#37325;&#21123;.html" TargetMode="External" Id="rId141"/><Relationship Type="http://schemas.openxmlformats.org/officeDocument/2006/relationships/hyperlink" Target="taoyuan/&#20854;&#20182;&#20844;&#36774;&#26696;.html" TargetMode="External" Id="rId142"/><Relationship Type="http://schemas.openxmlformats.org/officeDocument/2006/relationships/hyperlink" Target="taoyuan/&#20013;&#22754;&#33258;&#36774;&#37325;&#21123;&#32676;.html" TargetMode="External" Id="rId143"/><Relationship Type="http://schemas.openxmlformats.org/officeDocument/2006/relationships/hyperlink" Target="taoyuan/&#34310;&#31481;&#33258;&#36774;&#37325;&#21123;.html" TargetMode="External" Id="rId144"/><Relationship Type="http://schemas.openxmlformats.org/officeDocument/2006/relationships/hyperlink" Target="taoyuan/&#26691;&#22290;&#33322;&#31354;&#22478;.html" TargetMode="External" Id="rId145"/><Relationship Type="http://schemas.openxmlformats.org/officeDocument/2006/relationships/hyperlink" Target="taoyuan/&#38738;&#22484;&#39640;&#37941;&#29305;&#21312;.html" TargetMode="External" Id="rId146"/><Relationship Type="http://schemas.openxmlformats.org/officeDocument/2006/relationships/hyperlink" Target="taoyuan/&#20013;&#36335;&#21312;&#27573;&#24501;&#25910;.html" TargetMode="External" Id="rId147"/><Relationship Type="http://schemas.openxmlformats.org/officeDocument/2006/relationships/hyperlink" Target="taoyuan/&#22823;&#22290;&#21312;&#27573;&#24501;&#25910;.html" TargetMode="External" Id="rId148"/><Relationship Type="http://schemas.openxmlformats.org/officeDocument/2006/relationships/hyperlink" Target="taoyuan/&#33290;&#24066;&#21312;&#38646;&#26143;&#37117;&#26356;.html" TargetMode="External" Id="rId149"/><Relationship Type="http://schemas.openxmlformats.org/officeDocument/2006/relationships/hyperlink" Target="taichung/1&#26399;&#37325;&#21123;.html" TargetMode="External" Id="rId150"/><Relationship Type="http://schemas.openxmlformats.org/officeDocument/2006/relationships/hyperlink" Target="taichung/2&#26399;&#37325;&#21123;.html" TargetMode="External" Id="rId151"/><Relationship Type="http://schemas.openxmlformats.org/officeDocument/2006/relationships/hyperlink" Target="taichung/3&#26399;&#37325;&#21123;.html" TargetMode="External" Id="rId152"/><Relationship Type="http://schemas.openxmlformats.org/officeDocument/2006/relationships/hyperlink" Target="taichung/4&#26399;&#37325;&#21123;.html" TargetMode="External" Id="rId153"/><Relationship Type="http://schemas.openxmlformats.org/officeDocument/2006/relationships/hyperlink" Target="taichung/5&#26399;&#37325;&#21123;.html" TargetMode="External" Id="rId154"/><Relationship Type="http://schemas.openxmlformats.org/officeDocument/2006/relationships/hyperlink" Target="taichung/6&#26399;&#37325;&#21123;.html" TargetMode="External" Id="rId155"/><Relationship Type="http://schemas.openxmlformats.org/officeDocument/2006/relationships/hyperlink" Target="taichung/7&#26399;&#37325;&#21123;.html" TargetMode="External" Id="rId156"/><Relationship Type="http://schemas.openxmlformats.org/officeDocument/2006/relationships/hyperlink" Target="taichung/8&#26399;&#37325;&#21123;.html" TargetMode="External" Id="rId157"/><Relationship Type="http://schemas.openxmlformats.org/officeDocument/2006/relationships/hyperlink" Target="taichung/9&#26399;&#37325;&#21123;.html" TargetMode="External" Id="rId158"/><Relationship Type="http://schemas.openxmlformats.org/officeDocument/2006/relationships/hyperlink" Target="taichung/10&#26399;&#37325;&#21123;.html" TargetMode="External" Id="rId159"/><Relationship Type="http://schemas.openxmlformats.org/officeDocument/2006/relationships/hyperlink" Target="taichung/11&#26399;&#37325;&#21123;.html" TargetMode="External" Id="rId160"/><Relationship Type="http://schemas.openxmlformats.org/officeDocument/2006/relationships/hyperlink" Target="taichung/12&#26399;&#37325;&#21123;.html" TargetMode="External" Id="rId161"/><Relationship Type="http://schemas.openxmlformats.org/officeDocument/2006/relationships/hyperlink" Target="taichung/13&#26399;&#37325;&#21123;.html" TargetMode="External" Id="rId162"/><Relationship Type="http://schemas.openxmlformats.org/officeDocument/2006/relationships/hyperlink" Target="taichung/14&#26399;&#37325;&#21123;.html" TargetMode="External" Id="rId163"/><Relationship Type="http://schemas.openxmlformats.org/officeDocument/2006/relationships/hyperlink" Target="taichung/&#22826;&#24179;&#20844;&#36774;&#37325;&#21123;.html" TargetMode="External" Id="rId164"/><Relationship Type="http://schemas.openxmlformats.org/officeDocument/2006/relationships/hyperlink" Target="taichung/&#28879;&#26085;&#20844;&#36774;&#37325;&#21123;.html" TargetMode="External" Id="rId165"/><Relationship Type="http://schemas.openxmlformats.org/officeDocument/2006/relationships/hyperlink" Target="taichung/&#38695;&#23792;&#20844;&#36774;&#37325;&#21123;.html" TargetMode="External" Id="rId166"/><Relationship Type="http://schemas.openxmlformats.org/officeDocument/2006/relationships/hyperlink" Target="taichung/&#27801;&#40575;&#20844;&#36774;&#37325;&#21123;.html" TargetMode="External" Id="rId167"/><Relationship Type="http://schemas.openxmlformats.org/officeDocument/2006/relationships/hyperlink" Target="taichung/&#35920;&#21407;&#20844;&#36774;&#37325;&#21123;.html" TargetMode="External" Id="rId168"/><Relationship Type="http://schemas.openxmlformats.org/officeDocument/2006/relationships/hyperlink" Target="taichung/&#22823;&#37324;&#33258;&#36774;&#37325;&#21123;.html" TargetMode="External" Id="rId169"/><Relationship Type="http://schemas.openxmlformats.org/officeDocument/2006/relationships/hyperlink" Target="taichung/&#22823;&#38597;&#33258;&#36774;&#37325;&#21123;.html" TargetMode="External" Id="rId170"/><Relationship Type="http://schemas.openxmlformats.org/officeDocument/2006/relationships/hyperlink" Target="taichung/&#20854;&#20182;&#37129;&#37806;&#33258;&#36774;&#26696;.html" TargetMode="External" Id="rId171"/><Relationship Type="http://schemas.openxmlformats.org/officeDocument/2006/relationships/hyperlink" Target="taichung/&#27700;&#28275;&#26234;&#24935;&#22478;&#65288;&#21312;&#27573;&#24501;&#25910;&#65289;.html" TargetMode="External" Id="rId172"/><Relationship Type="http://schemas.openxmlformats.org/officeDocument/2006/relationships/hyperlink" Target="taichung/&#33290;&#24066;&#21312;&#38646;&#26143;&#37117;&#26356;.html" TargetMode="External" Id="rId173"/><Relationship Type="http://schemas.openxmlformats.org/officeDocument/2006/relationships/hyperlink" Target="tainan/&#26481;&#21312;&#37325;&#21123;.html" TargetMode="External" Id="rId174"/><Relationship Type="http://schemas.openxmlformats.org/officeDocument/2006/relationships/hyperlink" Target="tainan/&#27704;&#24247;&#20844;&#36774;&#37325;&#21123;.html" TargetMode="External" Id="rId175"/><Relationship Type="http://schemas.openxmlformats.org/officeDocument/2006/relationships/hyperlink" Target="tainan/&#27512;&#20161;&#20844;&#36774;&#37325;&#21123;.html" TargetMode="External" Id="rId176"/><Relationship Type="http://schemas.openxmlformats.org/officeDocument/2006/relationships/hyperlink" Target="tainan/&#20161;&#24503;&#20844;&#36774;&#37325;&#21123;.html" TargetMode="External" Id="rId177"/><Relationship Type="http://schemas.openxmlformats.org/officeDocument/2006/relationships/hyperlink" Target="tainan/&#20854;&#20182;&#20844;&#36774;&#26696;.html" TargetMode="External" Id="rId178"/><Relationship Type="http://schemas.openxmlformats.org/officeDocument/2006/relationships/hyperlink" Target="tainan/&#23433;&#21335;&#33258;&#36774;&#37325;&#21123;&#32676;.html" TargetMode="External" Id="rId179"/><Relationship Type="http://schemas.openxmlformats.org/officeDocument/2006/relationships/hyperlink" Target="tainan/&#20854;&#20182;&#37129;&#37806;&#33258;&#36774;&#26696;.html" TargetMode="External" Id="rId180"/><Relationship Type="http://schemas.openxmlformats.org/officeDocument/2006/relationships/hyperlink" Target="tainan/&#20061;&#20221;&#23376;&#29305;&#21312;.html" TargetMode="External" Id="rId181"/><Relationship Type="http://schemas.openxmlformats.org/officeDocument/2006/relationships/hyperlink" Target="tainan/&#21335;&#31185;&#29305;&#23450;&#21312;.html" TargetMode="External" Id="rId182"/><Relationship Type="http://schemas.openxmlformats.org/officeDocument/2006/relationships/hyperlink" Target="tainan/&#21892;&#21270;&#21312;&#27573;&#24501;&#25910;.html" TargetMode="External" Id="rId183"/><Relationship Type="http://schemas.openxmlformats.org/officeDocument/2006/relationships/hyperlink" Target="tainan/&#33290;&#24066;&#21312;&#38646;&#26143;&#37117;&#26356;.html" TargetMode="External" Id="rId184"/><Relationship Type="http://schemas.openxmlformats.org/officeDocument/2006/relationships/hyperlink" Target="kaohsiung/&#40179;&#23665;&#20844;&#36774;&#37325;&#21123;.html" TargetMode="External" Id="rId185"/><Relationship Type="http://schemas.openxmlformats.org/officeDocument/2006/relationships/hyperlink" Target="kaohsiung/&#23713;&#23665;&#20844;&#36774;&#37325;&#21123;.html" TargetMode="External" Id="rId186"/><Relationship Type="http://schemas.openxmlformats.org/officeDocument/2006/relationships/hyperlink" Target="kaohsiung/&#22823;&#23534;&#20844;&#36774;&#37325;&#21123;.html" TargetMode="External" Id="rId187"/><Relationship Type="http://schemas.openxmlformats.org/officeDocument/2006/relationships/hyperlink" Target="kaohsiung/&#36335;&#31481;&#20844;&#36774;&#37325;&#21123;.html" TargetMode="External" Id="rId188"/><Relationship Type="http://schemas.openxmlformats.org/officeDocument/2006/relationships/hyperlink" Target="kaohsiung/&#20854;&#20182;&#20844;&#36774;&#26696;.html" TargetMode="External" Id="rId189"/><Relationship Type="http://schemas.openxmlformats.org/officeDocument/2006/relationships/hyperlink" Target="kaohsiung/&#26771;&#23448;&#33258;&#36774;&#37325;&#21123;.html" TargetMode="External" Id="rId190"/><Relationship Type="http://schemas.openxmlformats.org/officeDocument/2006/relationships/hyperlink" Target="kaohsiung/&#24396;&#38464;&#33258;&#36774;&#37325;&#21123;.html" TargetMode="External" Id="rId191"/><Relationship Type="http://schemas.openxmlformats.org/officeDocument/2006/relationships/hyperlink" Target="kaohsiung/&#20854;&#20182;&#37129;&#37806;&#33258;&#36774;&#26696;.html" TargetMode="External" Id="rId192"/><Relationship Type="http://schemas.openxmlformats.org/officeDocument/2006/relationships/hyperlink" Target="kaohsiung/&#36786;16&#29305;&#21312;.html" TargetMode="External" Id="rId193"/><Relationship Type="http://schemas.openxmlformats.org/officeDocument/2006/relationships/hyperlink" Target="kaohsiung/&#20126;&#27954;&#26032;&#28771;&#21312;.html" TargetMode="External" Id="rId194"/><Relationship Type="http://schemas.openxmlformats.org/officeDocument/2006/relationships/hyperlink" Target="kaohsiung/&#20161;&#27494;&#21312;&#27573;&#24501;&#25910;.html" TargetMode="External" Id="rId195"/><Relationship Type="http://schemas.openxmlformats.org/officeDocument/2006/relationships/hyperlink" Target="kaohsiung/&#23713;&#23665;&#21312;&#27573;&#24501;&#25910;.html" TargetMode="External" Id="rId196"/><Relationship Type="http://schemas.openxmlformats.org/officeDocument/2006/relationships/hyperlink" Target="kaohsiung/&#27211;&#38957;&#31185;&#23416;&#22290;&#21312;&#27573;&#24501;&#25910;.html" TargetMode="External" Id="rId197"/><Relationship Type="http://schemas.openxmlformats.org/officeDocument/2006/relationships/hyperlink" Target="kaohsiung/&#33290;&#24066;&#21312;&#38646;&#26143;&#37117;&#26356;.html" TargetMode="External" Id="rId198"/><Relationship Type="http://schemas.openxmlformats.org/officeDocument/2006/relationships/hyperlink" Target="keelung/&#24066;&#21312;&#23567;&#22411;&#20844;&#36774;&#26696;.html" TargetMode="External" Id="rId199"/><Relationship Type="http://schemas.openxmlformats.org/officeDocument/2006/relationships/hyperlink" Target="keelung/&#24066;&#21312;&#23567;&#22411;&#33258;&#36774;&#37325;&#21123;.html" TargetMode="External" Id="rId200"/><Relationship Type="http://schemas.openxmlformats.org/officeDocument/2006/relationships/hyperlink" Target="keelung/&#22522;&#38534;&#28207;&#21608;&#37002;&#37117;&#26356;.html" TargetMode="External" Id="rId201"/><Relationship Type="http://schemas.openxmlformats.org/officeDocument/2006/relationships/hyperlink" Target="hsinchu-city/&#24066;&#21312;&#23567;&#22411;&#20844;&#36774;&#26696;.html" TargetMode="External" Id="rId202"/><Relationship Type="http://schemas.openxmlformats.org/officeDocument/2006/relationships/hyperlink" Target="hsinchu-city/&#24066;&#21312;&#22810;&#34389;&#33258;&#36774;&#37325;&#21123;.html" TargetMode="External" Id="rId203"/><Relationship Type="http://schemas.openxmlformats.org/officeDocument/2006/relationships/hyperlink" Target="hsinchu-city/&#37329;&#23665;&#34903;&#33258;&#36774;&#37325;&#21123;.html" TargetMode="External" Id="rId204"/><Relationship Type="http://schemas.openxmlformats.org/officeDocument/2006/relationships/hyperlink" Target="hsinchu-city/&#33290;&#24066;&#21312;&#37117;&#26356;.html" TargetMode="External" Id="rId205"/><Relationship Type="http://schemas.openxmlformats.org/officeDocument/2006/relationships/hyperlink" Target="hsinchu-county/&#31481;&#21271;&#22810;&#26399;&#20844;&#36774;&#37325;&#21123;.html" TargetMode="External" Id="rId206"/><Relationship Type="http://schemas.openxmlformats.org/officeDocument/2006/relationships/hyperlink" Target="hsinchu-county/&#28246;&#21475;&#20844;&#36774;&#37325;&#21123;.html" TargetMode="External" Id="rId207"/><Relationship Type="http://schemas.openxmlformats.org/officeDocument/2006/relationships/hyperlink" Target="hsinchu-county/&#20854;&#20182;&#37129;&#37806;&#20844;&#36774;&#26696;.html" TargetMode="External" Id="rId208"/><Relationship Type="http://schemas.openxmlformats.org/officeDocument/2006/relationships/hyperlink" Target="hsinchu-county/&#37129;&#37806;&#38646;&#26143;&#33258;&#36774;&#26696;.html" TargetMode="External" Id="rId209"/><Relationship Type="http://schemas.openxmlformats.org/officeDocument/2006/relationships/hyperlink" Target="hsinchu-county/&#31481;&#21271;&#39640;&#37941;&#29305;&#21312;.html" TargetMode="External" Id="rId210"/><Relationship Type="http://schemas.openxmlformats.org/officeDocument/2006/relationships/hyperlink" Target="hsinchu-county/&#33290;&#24066;&#21312;&#38646;&#26143;&#37117;&#26356;.html" TargetMode="External" Id="rId211"/><Relationship Type="http://schemas.openxmlformats.org/officeDocument/2006/relationships/hyperlink" Target="miaoli/&#31481;&#21335;&#20844;&#36774;&#37325;&#21123;.html" TargetMode="External" Id="rId212"/><Relationship Type="http://schemas.openxmlformats.org/officeDocument/2006/relationships/hyperlink" Target="miaoli/&#38957;&#20221;&#20844;&#36774;&#37325;&#21123;.html" TargetMode="External" Id="rId213"/><Relationship Type="http://schemas.openxmlformats.org/officeDocument/2006/relationships/hyperlink" Target="miaoli/&#33495;&#26647;&#24066;&#33258;&#36774;&#37325;&#21123;.html" TargetMode="External" Id="rId214"/><Relationship Type="http://schemas.openxmlformats.org/officeDocument/2006/relationships/hyperlink" Target="miaoli/&#20854;&#20182;&#37129;&#37806;&#33258;&#36774;&#26696;.html" TargetMode="External" Id="rId215"/><Relationship Type="http://schemas.openxmlformats.org/officeDocument/2006/relationships/hyperlink" Target="miaoli/&#33290;&#24066;&#21312;&#38646;&#26143;&#37117;&#26356;.html" TargetMode="External" Id="rId216"/><Relationship Type="http://schemas.openxmlformats.org/officeDocument/2006/relationships/hyperlink" Target="yilan/&#32645;&#26481;&#20844;&#36774;&#37325;&#21123;.html" TargetMode="External" Id="rId217"/><Relationship Type="http://schemas.openxmlformats.org/officeDocument/2006/relationships/hyperlink" Target="yilan/&#23452;&#34349;&#24066;&#23567;&#22411;&#33258;&#36774;&#37325;&#21123;.html" TargetMode="External" Id="rId218"/><Relationship Type="http://schemas.openxmlformats.org/officeDocument/2006/relationships/hyperlink" Target="yilan/&#32645;&#26481;&#29305;&#23450;&#21312;&#27573;&#24501;&#25910;.html" TargetMode="External" Id="rId219"/><Relationship Type="http://schemas.openxmlformats.org/officeDocument/2006/relationships/hyperlink" Target="yilan/&#33290;&#24066;&#21312;&#38646;&#26143;&#37117;&#26356;.html" TargetMode="External" Id="rId220"/><Relationship Type="http://schemas.openxmlformats.org/officeDocument/2006/relationships/hyperlink" Target="changhua/&#24432;&#21270;&#24066;&#20844;&#36774;&#37325;&#21123;.html" TargetMode="External" Id="rId221"/><Relationship Type="http://schemas.openxmlformats.org/officeDocument/2006/relationships/hyperlink" Target="changhua/&#21729;&#26519;&#20844;&#36774;&#37325;&#21123;.html" TargetMode="External" Id="rId222"/><Relationship Type="http://schemas.openxmlformats.org/officeDocument/2006/relationships/hyperlink" Target="changhua/&#40575;&#28207;&#33258;&#36774;&#37325;&#21123;.html" TargetMode="External" Id="rId223"/><Relationship Type="http://schemas.openxmlformats.org/officeDocument/2006/relationships/hyperlink" Target="changhua/&#21644;&#32654;&#33258;&#36774;&#37325;&#21123;.html" TargetMode="External" Id="rId224"/><Relationship Type="http://schemas.openxmlformats.org/officeDocument/2006/relationships/hyperlink" Target="changhua/&#20854;&#20182;&#37129;&#37806;&#22823;&#37327;&#33258;&#36774;&#26696;.html" TargetMode="External" Id="rId225"/><Relationship Type="http://schemas.openxmlformats.org/officeDocument/2006/relationships/hyperlink" Target="changhua/&#65288;&#20840;&#21488;&#33258;&#36774;&#37325;&#21123;&#23494;&#24230;&#26368;&#39640;&#65289;.html" TargetMode="External" Id="rId226"/><Relationship Type="http://schemas.openxmlformats.org/officeDocument/2006/relationships/hyperlink" Target="changhua/&#33290;&#24066;&#21312;&#38646;&#26143;&#37117;&#26356;.html" TargetMode="External" Id="rId227"/><Relationship Type="http://schemas.openxmlformats.org/officeDocument/2006/relationships/hyperlink" Target="nantou/&#32291;&#27835;&#23567;&#22411;&#20844;&#36774;&#26696;.html" TargetMode="External" Id="rId228"/><Relationship Type="http://schemas.openxmlformats.org/officeDocument/2006/relationships/hyperlink" Target="nantou/&#22484;&#37324;&#33258;&#36774;&#37325;&#21123;.html" TargetMode="External" Id="rId229"/><Relationship Type="http://schemas.openxmlformats.org/officeDocument/2006/relationships/hyperlink" Target="nantou/&#33609;&#23663;&#33258;&#36774;&#37325;&#21123;.html" TargetMode="External" Id="rId230"/><Relationship Type="http://schemas.openxmlformats.org/officeDocument/2006/relationships/hyperlink" Target="nantou/&#31481;&#23665;&#33258;&#36774;&#37325;&#21123;.html" TargetMode="External" Id="rId231"/><Relationship Type="http://schemas.openxmlformats.org/officeDocument/2006/relationships/hyperlink" Target="nantou/&#33290;&#24066;&#21312;&#38646;&#26143;&#37117;&#26356;.html" TargetMode="External" Id="rId232"/><Relationship Type="http://schemas.openxmlformats.org/officeDocument/2006/relationships/hyperlink" Target="yunlin/&#32291;&#27835;&#23567;&#22411;&#20844;&#36774;&#26696;.html" TargetMode="External" Id="rId233"/><Relationship Type="http://schemas.openxmlformats.org/officeDocument/2006/relationships/hyperlink" Target="yunlin/&#26007;&#20845;&#33258;&#36774;&#37325;&#21123;.html" TargetMode="External" Id="rId234"/><Relationship Type="http://schemas.openxmlformats.org/officeDocument/2006/relationships/hyperlink" Target="yunlin/&#34382;&#23614;&#33258;&#36774;&#37325;&#21123;.html" TargetMode="External" Id="rId235"/><Relationship Type="http://schemas.openxmlformats.org/officeDocument/2006/relationships/hyperlink" Target="yunlin/&#21271;&#28207;&#33258;&#36774;&#37325;&#21123;.html" TargetMode="External" Id="rId236"/><Relationship Type="http://schemas.openxmlformats.org/officeDocument/2006/relationships/hyperlink" Target="yunlin/&#20854;&#20182;&#37129;&#37806;&#33258;&#36774;&#26696;.html" TargetMode="External" Id="rId237"/><Relationship Type="http://schemas.openxmlformats.org/officeDocument/2006/relationships/hyperlink" Target="yunlin/&#33290;&#24066;&#21312;&#38646;&#26143;&#37117;&#26356;.html" TargetMode="External" Id="rId238"/><Relationship Type="http://schemas.openxmlformats.org/officeDocument/2006/relationships/hyperlink" Target="chiayi-city/&#24066;&#21312;&#23567;&#22411;&#20844;&#36774;&#26696;.html" TargetMode="External" Id="rId239"/><Relationship Type="http://schemas.openxmlformats.org/officeDocument/2006/relationships/hyperlink" Target="chiayi-city/&#24066;&#21312;&#23567;&#22411;&#33258;&#36774;&#37325;&#21123;.html" TargetMode="External" Id="rId240"/><Relationship Type="http://schemas.openxmlformats.org/officeDocument/2006/relationships/hyperlink" Target="chiayi-city/&#33290;&#24066;&#21312;&#37117;&#26356;.html" TargetMode="External" Id="rId241"/><Relationship Type="http://schemas.openxmlformats.org/officeDocument/2006/relationships/hyperlink" Target="chiayi-county/&#22826;&#20445;&#20844;&#36774;&#37325;&#21123;.html" TargetMode="External" Id="rId242"/><Relationship Type="http://schemas.openxmlformats.org/officeDocument/2006/relationships/hyperlink" Target="chiayi-county/&#26420;&#23376;&#20844;&#36774;&#37325;&#21123;.html" TargetMode="External" Id="rId243"/><Relationship Type="http://schemas.openxmlformats.org/officeDocument/2006/relationships/hyperlink" Target="chiayi-county/&#37129;&#37806;&#38646;&#26143;&#33258;&#36774;&#26696;.html" TargetMode="External" Id="rId244"/><Relationship Type="http://schemas.openxmlformats.org/officeDocument/2006/relationships/hyperlink" Target="chiayi-county/&#33290;&#24066;&#21312;&#38646;&#26143;&#37117;&#26356;.html" TargetMode="External" Id="rId245"/><Relationship Type="http://schemas.openxmlformats.org/officeDocument/2006/relationships/hyperlink" Target="pingtung/&#23631;&#26481;&#24066;&#20844;&#36774;&#37325;&#21123;.html" TargetMode="External" Id="rId246"/><Relationship Type="http://schemas.openxmlformats.org/officeDocument/2006/relationships/hyperlink" Target="pingtung/&#28526;&#24030;&#33258;&#36774;&#37325;&#21123;.html" TargetMode="External" Id="rId247"/><Relationship Type="http://schemas.openxmlformats.org/officeDocument/2006/relationships/hyperlink" Target="pingtung/&#20839;&#22484;&#33258;&#36774;&#37325;&#21123;.html" TargetMode="External" Id="rId248"/><Relationship Type="http://schemas.openxmlformats.org/officeDocument/2006/relationships/hyperlink" Target="pingtung/&#20854;&#20182;&#37129;&#37806;&#33258;&#36774;&#26696;.html" TargetMode="External" Id="rId249"/><Relationship Type="http://schemas.openxmlformats.org/officeDocument/2006/relationships/hyperlink" Target="pingtung/&#33290;&#24066;&#21312;&#38646;&#26143;&#37117;&#26356;.html" TargetMode="External" Id="rId250"/><Relationship Type="http://schemas.openxmlformats.org/officeDocument/2006/relationships/hyperlink" Target="hualien/&#32291;&#27835;&#23567;&#22411;&#20844;&#36774;&#26696;.html" TargetMode="External" Id="rId251"/><Relationship Type="http://schemas.openxmlformats.org/officeDocument/2006/relationships/hyperlink" Target="hualien/&#32291;&#27835;&#38646;&#26143;&#23567;&#22411;&#33258;&#36774;&#26696;.html" TargetMode="External" Id="rId252"/><Relationship Type="http://schemas.openxmlformats.org/officeDocument/2006/relationships/hyperlink" Target="hualien/&#33457;&#34030;&#24066;&#20844;&#20849;&#24314;&#35373;&#21312;&#27573;&#24501;&#25910;.html" TargetMode="External" Id="rId253"/><Relationship Type="http://schemas.openxmlformats.org/officeDocument/2006/relationships/hyperlink" Target="hualien/&#33290;&#24066;&#21312;&#38646;&#26143;&#37117;&#26356;.html" TargetMode="External" Id="rId254"/><Relationship Type="http://schemas.openxmlformats.org/officeDocument/2006/relationships/hyperlink" Target="taitung/&#32291;&#27835;&#23567;&#22411;&#20844;&#36774;&#26696;.html" TargetMode="External" Id="rId255"/><Relationship Type="http://schemas.openxmlformats.org/officeDocument/2006/relationships/hyperlink" Target="taitung/&#32291;&#27835;&#38646;&#26143;&#23567;&#22411;&#33258;&#36774;&#26696;.html" TargetMode="External" Id="rId256"/><Relationship Type="http://schemas.openxmlformats.org/officeDocument/2006/relationships/hyperlink" Target="taitung/&#33274;&#26481;&#24066;&#21312;&#21312;&#27573;&#24501;&#25910;.html" TargetMode="External" Id="rId257"/><Relationship Type="http://schemas.openxmlformats.org/officeDocument/2006/relationships/hyperlink" Target="taitung/&#33290;&#24066;&#21312;&#38646;&#26143;&#37117;&#26356;.html" TargetMode="External" Id="rId258"/><Relationship Type="http://schemas.openxmlformats.org/officeDocument/2006/relationships/hyperlink" Target="penghu/&#28961;&#22823;&#22411;&#20303;&#23429;&#37325;&#21123;.html" TargetMode="External" Id="rId259"/><Relationship Type="http://schemas.openxmlformats.org/officeDocument/2006/relationships/hyperlink" Target="penghu/&#24190;&#20046;&#28961;.html" TargetMode="External" Id="rId260"/><Relationship Type="http://schemas.openxmlformats.org/officeDocument/2006/relationships/hyperlink" Target="penghu/&#20677;&#20844;&#20849;&#24314;&#35373;&#39006;.html" TargetMode="External" Id="rId261"/><Relationship Type="http://schemas.openxmlformats.org/officeDocument/2006/relationships/hyperlink" Target="kinmen/&#28961;&#22823;&#22411;&#20303;&#23429;&#37325;&#21123;.html" TargetMode="External" Id="rId262"/><Relationship Type="http://schemas.openxmlformats.org/officeDocument/2006/relationships/hyperlink" Target="kinmen/&#24190;&#20046;&#28961;.html" TargetMode="External" Id="rId263"/><Relationship Type="http://schemas.openxmlformats.org/officeDocument/2006/relationships/hyperlink" Target="kinmen/&#20677;&#20844;&#20849;&#24314;&#35373;&#39006;.html" TargetMode="External" Id="rId264"/><Relationship Type="http://schemas.openxmlformats.org/officeDocument/2006/relationships/hyperlink" Target="lienchiang/&#28961;&#22823;&#22411;&#20303;&#23429;&#37325;&#21123;.html" TargetMode="External" Id="rId265"/><Relationship Type="http://schemas.openxmlformats.org/officeDocument/2006/relationships/hyperlink" Target="lienchiang/&#24190;&#20046;&#28961;.html" TargetMode="External" Id="rId266"/><Relationship Type="http://schemas.openxmlformats.org/officeDocument/2006/relationships/hyperlink" Target="lienchiang/&#20677;&#20844;&#20849;&#24314;&#35373;&#39006;.html" TargetMode="External" Id="rId267"/><Relationship Type="http://schemas.openxmlformats.org/officeDocument/2006/relationships/hyperlink" Target="index.html" TargetMode="External" Id="rId268"/><Relationship Type="http://schemas.openxmlformats.org/officeDocument/2006/relationships/hyperlink" Target="toc.html" TargetMode="External" Id="rId269"/><Relationship Type="http://schemas.openxmlformats.org/officeDocument/2006/relationships/hyperlink" Target="&#21488;&#28771;22&#32291;&#24066;&#37325;&#21123;&#21312;_&#25972;&#21512;&#23566;&#35261;&#20837;&#21475;.html" TargetMode="External" Id="rId270"/><Relationship Type="http://schemas.openxmlformats.org/officeDocument/2006/relationships/hyperlink" Target="&#21488;&#28771;22&#32291;&#24066;&#37325;&#21123;&#21312;&#32317;&#30446;&#37636;-.html" TargetMode="External" Id="rId271"/><Relationship Type="http://schemas.openxmlformats.org/officeDocument/2006/relationships/hyperlink" Target="&#21488;&#28771;22&#32291;&#24066;&#37325;&#21123;&#21312;&#32317;&#30446;&#37636;.html" TargetMode="External" Id="rId272"/><Relationship Type="http://schemas.openxmlformats.org/officeDocument/2006/relationships/hyperlink" Target="&#33274;&#20013;&#24066;&#37325;&#21123;&#21312;&#20840;&#30446;&#37636;-.html" TargetMode="External" Id="rId273"/><Relationship Type="http://schemas.openxmlformats.org/officeDocument/2006/relationships/hyperlink" Target="&#33274;&#20013;&#24066;&#37325;&#21123;&#21312;&#20840;&#30446;&#37636;.html" TargetMode="External" Id="rId274"/><Relationship Type="http://schemas.openxmlformats.org/officeDocument/2006/relationships/hyperlink" Target="&#33274;&#20013;&#24066;&#37325;&#21123;&#21312;&#36023;&#25151;&#23526;&#25136;&#25351;&#21335;-.html" TargetMode="External" Id="rId275"/><Relationship Type="http://schemas.openxmlformats.org/officeDocument/2006/relationships/hyperlink" Target="&#33274;&#20013;&#24066;&#37325;&#21123;&#21312;&#36023;&#25151;&#23526;&#25136;&#25351;&#21335;.html" TargetMode="External" Id="rId276"/></Relationships>
</file>

<file path=xl/worksheets/_rels/sheet4.xml.rels><Relationships xmlns="http://schemas.openxmlformats.org/package/2006/relationships"><Relationship Type="http://schemas.openxmlformats.org/officeDocument/2006/relationships/hyperlink" Target="taipei/&#21335;&#28207;&#20844;&#36774;&#37325;&#21123;.html" TargetMode="External" Id="rId1"/><Relationship Type="http://schemas.openxmlformats.org/officeDocument/2006/relationships/hyperlink" Target="taipei/&#20839;&#28246;&#23567;&#22411;&#20844;&#36774;&#37325;&#21123;.html" TargetMode="External" Id="rId2"/><Relationship Type="http://schemas.openxmlformats.org/officeDocument/2006/relationships/hyperlink" Target="taipei/&#38646;&#26143;&#23567;&#22411;&#33258;&#36774;&#26696;.html" TargetMode="External" Id="rId3"/><Relationship Type="http://schemas.openxmlformats.org/officeDocument/2006/relationships/hyperlink" Target="taipei/&#35199;&#38272;&#20844;&#36774;&#37117;&#26356;.html" TargetMode="External" Id="rId4"/><Relationship Type="http://schemas.openxmlformats.org/officeDocument/2006/relationships/hyperlink" Target="taipei/&#21335;&#28207;&#20844;&#36774;&#37117;&#26356;.html" TargetMode="External" Id="rId5"/><Relationship Type="http://schemas.openxmlformats.org/officeDocument/2006/relationships/hyperlink" Target="taipei/&#33836;&#33775;&#20844;&#36774;&#37117;&#26356;.html" TargetMode="External" Id="rId6"/><Relationship Type="http://schemas.openxmlformats.org/officeDocument/2006/relationships/hyperlink" Target="new-taipei/&#22637;&#20180;&#22323;&#37325;&#21123;.html" TargetMode="External" Id="rId7"/><Relationship Type="http://schemas.openxmlformats.org/officeDocument/2006/relationships/hyperlink" Target="new-taipei/&#22303;&#22478;&#26283;&#32233;&#30332;&#23637;&#21312;&#37325;&#21123;.html" TargetMode="External" Id="rId8"/><Relationship Type="http://schemas.openxmlformats.org/officeDocument/2006/relationships/hyperlink" Target="new-taipei/&#26495;&#27211;&#28014;&#27954;&#37325;&#21123;.html" TargetMode="External" Id="rId9"/><Relationship Type="http://schemas.openxmlformats.org/officeDocument/2006/relationships/hyperlink" Target="new-taipei/&#20854;&#20182;&#20013;&#23567;&#22411;&#20844;&#36774;&#26696;.html" TargetMode="External" Id="rId10"/><Relationship Type="http://schemas.openxmlformats.org/officeDocument/2006/relationships/hyperlink" Target="new-taipei/&#19977;&#23805;&#33258;&#36774;&#37325;&#21123;&#32676;.html" TargetMode="External" Id="rId11"/><Relationship Type="http://schemas.openxmlformats.org/officeDocument/2006/relationships/hyperlink" Target="new-taipei/&#20013;&#21644;&#33258;&#36774;&#37325;&#21123;.html" TargetMode="External" Id="rId12"/><Relationship Type="http://schemas.openxmlformats.org/officeDocument/2006/relationships/hyperlink" Target="new-taipei/&#27193;&#26519;&#33258;&#36774;&#37325;&#21123;.html" TargetMode="External" Id="rId13"/><Relationship Type="http://schemas.openxmlformats.org/officeDocument/2006/relationships/hyperlink" Target="new-taipei/&#26519;&#21475;&#26032;&#24066;&#37806;.html" TargetMode="External" Id="rId14"/><Relationship Type="http://schemas.openxmlformats.org/officeDocument/2006/relationships/hyperlink" Target="new-taipei/&#28129;&#28023;&#26032;&#24066;&#37806;.html" TargetMode="External" Id="rId15"/><Relationship Type="http://schemas.openxmlformats.org/officeDocument/2006/relationships/hyperlink" Target="new-taipei/&#20108;&#37325;&#30095;&#27946;&#36947;&#21312;&#27573;&#24501;&#25910;.html" TargetMode="External" Id="rId16"/><Relationship Type="http://schemas.openxmlformats.org/officeDocument/2006/relationships/hyperlink" Target="new-taipei/&#26495;&#27211;&#33290;&#24066;&#21312;&#20844;&#36774;&#37117;&#26356;.html" TargetMode="External" Id="rId17"/><Relationship Type="http://schemas.openxmlformats.org/officeDocument/2006/relationships/hyperlink" Target="taoyuan/&#20843;&#24503;&#25844;&#22823;&#37325;&#21123;.html" TargetMode="External" Id="rId18"/><Relationship Type="http://schemas.openxmlformats.org/officeDocument/2006/relationships/hyperlink" Target="taoyuan/&#24179;&#37806;&#20844;&#36774;&#37325;&#21123;.html" TargetMode="External" Id="rId19"/><Relationship Type="http://schemas.openxmlformats.org/officeDocument/2006/relationships/hyperlink" Target="taoyuan/&#26954;&#26757;&#20844;&#36774;&#37325;&#21123;.html" TargetMode="External" Id="rId20"/><Relationship Type="http://schemas.openxmlformats.org/officeDocument/2006/relationships/hyperlink" Target="taoyuan/&#20854;&#20182;&#20844;&#36774;&#26696;.html" TargetMode="External" Id="rId21"/><Relationship Type="http://schemas.openxmlformats.org/officeDocument/2006/relationships/hyperlink" Target="taoyuan/&#20013;&#22754;&#33258;&#36774;&#37325;&#21123;&#32676;.html" TargetMode="External" Id="rId22"/><Relationship Type="http://schemas.openxmlformats.org/officeDocument/2006/relationships/hyperlink" Target="taoyuan/&#34310;&#31481;&#33258;&#36774;&#37325;&#21123;.html" TargetMode="External" Id="rId23"/><Relationship Type="http://schemas.openxmlformats.org/officeDocument/2006/relationships/hyperlink" Target="taoyuan/&#26691;&#22290;&#33322;&#31354;&#22478;.html" TargetMode="External" Id="rId24"/><Relationship Type="http://schemas.openxmlformats.org/officeDocument/2006/relationships/hyperlink" Target="taoyuan/&#38738;&#22484;&#39640;&#37941;&#29305;&#21312;.html" TargetMode="External" Id="rId25"/><Relationship Type="http://schemas.openxmlformats.org/officeDocument/2006/relationships/hyperlink" Target="taoyuan/&#20013;&#36335;&#21312;&#27573;&#24501;&#25910;.html" TargetMode="External" Id="rId26"/><Relationship Type="http://schemas.openxmlformats.org/officeDocument/2006/relationships/hyperlink" Target="taoyuan/&#22823;&#22290;&#21312;&#27573;&#24501;&#25910;.html" TargetMode="External" Id="rId27"/><Relationship Type="http://schemas.openxmlformats.org/officeDocument/2006/relationships/hyperlink" Target="taoyuan/&#33290;&#24066;&#21312;&#38646;&#26143;&#37117;&#26356;.html" TargetMode="External" Id="rId28"/><Relationship Type="http://schemas.openxmlformats.org/officeDocument/2006/relationships/hyperlink" Target="taichung/1&#26399;&#37325;&#21123;.html" TargetMode="External" Id="rId29"/><Relationship Type="http://schemas.openxmlformats.org/officeDocument/2006/relationships/hyperlink" Target="taichung/2&#26399;&#37325;&#21123;.html" TargetMode="External" Id="rId30"/><Relationship Type="http://schemas.openxmlformats.org/officeDocument/2006/relationships/hyperlink" Target="taichung/3&#26399;&#37325;&#21123;.html" TargetMode="External" Id="rId31"/><Relationship Type="http://schemas.openxmlformats.org/officeDocument/2006/relationships/hyperlink" Target="taichung/4&#26399;&#37325;&#21123;.html" TargetMode="External" Id="rId32"/><Relationship Type="http://schemas.openxmlformats.org/officeDocument/2006/relationships/hyperlink" Target="taichung/5&#26399;&#37325;&#21123;.html" TargetMode="External" Id="rId33"/><Relationship Type="http://schemas.openxmlformats.org/officeDocument/2006/relationships/hyperlink" Target="taichung/6&#26399;&#37325;&#21123;.html" TargetMode="External" Id="rId34"/><Relationship Type="http://schemas.openxmlformats.org/officeDocument/2006/relationships/hyperlink" Target="taichung/7&#26399;&#37325;&#21123;.html" TargetMode="External" Id="rId35"/><Relationship Type="http://schemas.openxmlformats.org/officeDocument/2006/relationships/hyperlink" Target="taichung/8&#26399;&#37325;&#21123;.html" TargetMode="External" Id="rId36"/><Relationship Type="http://schemas.openxmlformats.org/officeDocument/2006/relationships/hyperlink" Target="taichung/9&#26399;&#37325;&#21123;.html" TargetMode="External" Id="rId37"/><Relationship Type="http://schemas.openxmlformats.org/officeDocument/2006/relationships/hyperlink" Target="taichung/10&#26399;&#37325;&#21123;.html" TargetMode="External" Id="rId38"/><Relationship Type="http://schemas.openxmlformats.org/officeDocument/2006/relationships/hyperlink" Target="taichung/11&#26399;&#37325;&#21123;.html" TargetMode="External" Id="rId39"/><Relationship Type="http://schemas.openxmlformats.org/officeDocument/2006/relationships/hyperlink" Target="taichung/12&#26399;&#37325;&#21123;.html" TargetMode="External" Id="rId40"/><Relationship Type="http://schemas.openxmlformats.org/officeDocument/2006/relationships/hyperlink" Target="taichung/13&#26399;&#37325;&#21123;.html" TargetMode="External" Id="rId41"/><Relationship Type="http://schemas.openxmlformats.org/officeDocument/2006/relationships/hyperlink" Target="taichung/14&#26399;&#37325;&#21123;.html" TargetMode="External" Id="rId42"/><Relationship Type="http://schemas.openxmlformats.org/officeDocument/2006/relationships/hyperlink" Target="taichung/&#22826;&#24179;&#20844;&#36774;&#37325;&#21123;.html" TargetMode="External" Id="rId43"/><Relationship Type="http://schemas.openxmlformats.org/officeDocument/2006/relationships/hyperlink" Target="taichung/&#28879;&#26085;&#20844;&#36774;&#37325;&#21123;.html" TargetMode="External" Id="rId44"/><Relationship Type="http://schemas.openxmlformats.org/officeDocument/2006/relationships/hyperlink" Target="taichung/&#38695;&#23792;&#20844;&#36774;&#37325;&#21123;.html" TargetMode="External" Id="rId45"/><Relationship Type="http://schemas.openxmlformats.org/officeDocument/2006/relationships/hyperlink" Target="taichung/&#27801;&#40575;&#20844;&#36774;&#37325;&#21123;.html" TargetMode="External" Id="rId46"/><Relationship Type="http://schemas.openxmlformats.org/officeDocument/2006/relationships/hyperlink" Target="taichung/&#35920;&#21407;&#20844;&#36774;&#37325;&#21123;.html" TargetMode="External" Id="rId47"/><Relationship Type="http://schemas.openxmlformats.org/officeDocument/2006/relationships/hyperlink" Target="taichung/&#22823;&#37324;&#33258;&#36774;&#37325;&#21123;.html" TargetMode="External" Id="rId48"/><Relationship Type="http://schemas.openxmlformats.org/officeDocument/2006/relationships/hyperlink" Target="taichung/&#22823;&#38597;&#33258;&#36774;&#37325;&#21123;.html" TargetMode="External" Id="rId49"/><Relationship Type="http://schemas.openxmlformats.org/officeDocument/2006/relationships/hyperlink" Target="taichung/&#20854;&#20182;&#37129;&#37806;&#33258;&#36774;&#26696;.html" TargetMode="External" Id="rId50"/><Relationship Type="http://schemas.openxmlformats.org/officeDocument/2006/relationships/hyperlink" Target="taichung/&#27700;&#28275;&#26234;&#24935;&#22478;&#65288;&#21312;&#27573;&#24501;&#25910;&#65289;.html" TargetMode="External" Id="rId51"/><Relationship Type="http://schemas.openxmlformats.org/officeDocument/2006/relationships/hyperlink" Target="taichung/&#33290;&#24066;&#21312;&#38646;&#26143;&#37117;&#26356;.html" TargetMode="External" Id="rId52"/><Relationship Type="http://schemas.openxmlformats.org/officeDocument/2006/relationships/hyperlink" Target="tainan/&#26481;&#21312;&#37325;&#21123;.html" TargetMode="External" Id="rId53"/><Relationship Type="http://schemas.openxmlformats.org/officeDocument/2006/relationships/hyperlink" Target="tainan/&#27704;&#24247;&#20844;&#36774;&#37325;&#21123;.html" TargetMode="External" Id="rId54"/><Relationship Type="http://schemas.openxmlformats.org/officeDocument/2006/relationships/hyperlink" Target="tainan/&#27512;&#20161;&#20844;&#36774;&#37325;&#21123;.html" TargetMode="External" Id="rId55"/><Relationship Type="http://schemas.openxmlformats.org/officeDocument/2006/relationships/hyperlink" Target="tainan/&#20161;&#24503;&#20844;&#36774;&#37325;&#21123;.html" TargetMode="External" Id="rId56"/><Relationship Type="http://schemas.openxmlformats.org/officeDocument/2006/relationships/hyperlink" Target="tainan/&#20854;&#20182;&#20844;&#36774;&#26696;.html" TargetMode="External" Id="rId57"/><Relationship Type="http://schemas.openxmlformats.org/officeDocument/2006/relationships/hyperlink" Target="tainan/&#23433;&#21335;&#33258;&#36774;&#37325;&#21123;&#32676;.html" TargetMode="External" Id="rId58"/><Relationship Type="http://schemas.openxmlformats.org/officeDocument/2006/relationships/hyperlink" Target="tainan/&#20854;&#20182;&#37129;&#37806;&#33258;&#36774;&#26696;.html" TargetMode="External" Id="rId59"/><Relationship Type="http://schemas.openxmlformats.org/officeDocument/2006/relationships/hyperlink" Target="tainan/&#20061;&#20221;&#23376;&#29305;&#21312;.html" TargetMode="External" Id="rId60"/><Relationship Type="http://schemas.openxmlformats.org/officeDocument/2006/relationships/hyperlink" Target="tainan/&#21335;&#31185;&#29305;&#23450;&#21312;.html" TargetMode="External" Id="rId61"/><Relationship Type="http://schemas.openxmlformats.org/officeDocument/2006/relationships/hyperlink" Target="tainan/&#21892;&#21270;&#21312;&#27573;&#24501;&#25910;.html" TargetMode="External" Id="rId62"/><Relationship Type="http://schemas.openxmlformats.org/officeDocument/2006/relationships/hyperlink" Target="tainan/&#33290;&#24066;&#21312;&#38646;&#26143;&#37117;&#26356;.html" TargetMode="External" Id="rId63"/><Relationship Type="http://schemas.openxmlformats.org/officeDocument/2006/relationships/hyperlink" Target="kaohsiung/&#40179;&#23665;&#20844;&#36774;&#37325;&#21123;.html" TargetMode="External" Id="rId64"/><Relationship Type="http://schemas.openxmlformats.org/officeDocument/2006/relationships/hyperlink" Target="kaohsiung/&#23713;&#23665;&#20844;&#36774;&#37325;&#21123;.html" TargetMode="External" Id="rId65"/><Relationship Type="http://schemas.openxmlformats.org/officeDocument/2006/relationships/hyperlink" Target="kaohsiung/&#22823;&#23534;&#20844;&#36774;&#37325;&#21123;.html" TargetMode="External" Id="rId66"/><Relationship Type="http://schemas.openxmlformats.org/officeDocument/2006/relationships/hyperlink" Target="kaohsiung/&#36335;&#31481;&#20844;&#36774;&#37325;&#21123;.html" TargetMode="External" Id="rId67"/><Relationship Type="http://schemas.openxmlformats.org/officeDocument/2006/relationships/hyperlink" Target="kaohsiung/&#20854;&#20182;&#20844;&#36774;&#26696;.html" TargetMode="External" Id="rId68"/><Relationship Type="http://schemas.openxmlformats.org/officeDocument/2006/relationships/hyperlink" Target="kaohsiung/&#26771;&#23448;&#33258;&#36774;&#37325;&#21123;.html" TargetMode="External" Id="rId69"/><Relationship Type="http://schemas.openxmlformats.org/officeDocument/2006/relationships/hyperlink" Target="kaohsiung/&#24396;&#38464;&#33258;&#36774;&#37325;&#21123;.html" TargetMode="External" Id="rId70"/><Relationship Type="http://schemas.openxmlformats.org/officeDocument/2006/relationships/hyperlink" Target="kaohsiung/&#20854;&#20182;&#37129;&#37806;&#33258;&#36774;&#26696;.html" TargetMode="External" Id="rId71"/><Relationship Type="http://schemas.openxmlformats.org/officeDocument/2006/relationships/hyperlink" Target="kaohsiung/&#36786;16&#29305;&#21312;.html" TargetMode="External" Id="rId72"/><Relationship Type="http://schemas.openxmlformats.org/officeDocument/2006/relationships/hyperlink" Target="kaohsiung/&#20126;&#27954;&#26032;&#28771;&#21312;.html" TargetMode="External" Id="rId73"/><Relationship Type="http://schemas.openxmlformats.org/officeDocument/2006/relationships/hyperlink" Target="kaohsiung/&#20161;&#27494;&#21312;&#27573;&#24501;&#25910;.html" TargetMode="External" Id="rId74"/><Relationship Type="http://schemas.openxmlformats.org/officeDocument/2006/relationships/hyperlink" Target="kaohsiung/&#23713;&#23665;&#21312;&#27573;&#24501;&#25910;.html" TargetMode="External" Id="rId75"/><Relationship Type="http://schemas.openxmlformats.org/officeDocument/2006/relationships/hyperlink" Target="kaohsiung/&#27211;&#38957;&#31185;&#23416;&#22290;&#21312;&#27573;&#24501;&#25910;.html" TargetMode="External" Id="rId76"/><Relationship Type="http://schemas.openxmlformats.org/officeDocument/2006/relationships/hyperlink" Target="kaohsiung/&#33290;&#24066;&#21312;&#38646;&#26143;&#37117;&#26356;.html" TargetMode="External" Id="rId77"/><Relationship Type="http://schemas.openxmlformats.org/officeDocument/2006/relationships/hyperlink" Target="keelung/&#24066;&#21312;&#23567;&#22411;&#20844;&#36774;&#26696;.html" TargetMode="External" Id="rId78"/><Relationship Type="http://schemas.openxmlformats.org/officeDocument/2006/relationships/hyperlink" Target="keelung/&#24066;&#21312;&#23567;&#22411;&#33258;&#36774;&#37325;&#21123;.html" TargetMode="External" Id="rId79"/><Relationship Type="http://schemas.openxmlformats.org/officeDocument/2006/relationships/hyperlink" Target="keelung/&#22522;&#38534;&#28207;&#21608;&#37002;&#37117;&#26356;.html" TargetMode="External" Id="rId80"/><Relationship Type="http://schemas.openxmlformats.org/officeDocument/2006/relationships/hyperlink" Target="hsinchu-city/&#24066;&#21312;&#23567;&#22411;&#20844;&#36774;&#26696;.html" TargetMode="External" Id="rId81"/><Relationship Type="http://schemas.openxmlformats.org/officeDocument/2006/relationships/hyperlink" Target="hsinchu-city/&#24066;&#21312;&#22810;&#34389;&#33258;&#36774;&#37325;&#21123;.html" TargetMode="External" Id="rId82"/><Relationship Type="http://schemas.openxmlformats.org/officeDocument/2006/relationships/hyperlink" Target="hsinchu-city/&#37329;&#23665;&#34903;&#33258;&#36774;&#37325;&#21123;.html" TargetMode="External" Id="rId83"/><Relationship Type="http://schemas.openxmlformats.org/officeDocument/2006/relationships/hyperlink" Target="hsinchu-city/&#33290;&#24066;&#21312;&#37117;&#26356;.html" TargetMode="External" Id="rId84"/><Relationship Type="http://schemas.openxmlformats.org/officeDocument/2006/relationships/hyperlink" Target="hsinchu-county/&#31481;&#21271;&#22810;&#26399;&#20844;&#36774;&#37325;&#21123;.html" TargetMode="External" Id="rId85"/><Relationship Type="http://schemas.openxmlformats.org/officeDocument/2006/relationships/hyperlink" Target="hsinchu-county/&#28246;&#21475;&#20844;&#36774;&#37325;&#21123;.html" TargetMode="External" Id="rId86"/><Relationship Type="http://schemas.openxmlformats.org/officeDocument/2006/relationships/hyperlink" Target="hsinchu-county/&#20854;&#20182;&#37129;&#37806;&#20844;&#36774;&#26696;.html" TargetMode="External" Id="rId87"/><Relationship Type="http://schemas.openxmlformats.org/officeDocument/2006/relationships/hyperlink" Target="hsinchu-county/&#37129;&#37806;&#38646;&#26143;&#33258;&#36774;&#26696;.html" TargetMode="External" Id="rId88"/><Relationship Type="http://schemas.openxmlformats.org/officeDocument/2006/relationships/hyperlink" Target="hsinchu-county/&#31481;&#21271;&#39640;&#37941;&#29305;&#21312;.html" TargetMode="External" Id="rId89"/><Relationship Type="http://schemas.openxmlformats.org/officeDocument/2006/relationships/hyperlink" Target="hsinchu-county/&#33290;&#24066;&#21312;&#38646;&#26143;&#37117;&#26356;.html" TargetMode="External" Id="rId90"/><Relationship Type="http://schemas.openxmlformats.org/officeDocument/2006/relationships/hyperlink" Target="miaoli/&#31481;&#21335;&#20844;&#36774;&#37325;&#21123;.html" TargetMode="External" Id="rId91"/><Relationship Type="http://schemas.openxmlformats.org/officeDocument/2006/relationships/hyperlink" Target="miaoli/&#38957;&#20221;&#20844;&#36774;&#37325;&#21123;.html" TargetMode="External" Id="rId92"/><Relationship Type="http://schemas.openxmlformats.org/officeDocument/2006/relationships/hyperlink" Target="miaoli/&#33495;&#26647;&#24066;&#33258;&#36774;&#37325;&#21123;.html" TargetMode="External" Id="rId93"/><Relationship Type="http://schemas.openxmlformats.org/officeDocument/2006/relationships/hyperlink" Target="miaoli/&#20854;&#20182;&#37129;&#37806;&#33258;&#36774;&#26696;.html" TargetMode="External" Id="rId94"/><Relationship Type="http://schemas.openxmlformats.org/officeDocument/2006/relationships/hyperlink" Target="miaoli/&#33290;&#24066;&#21312;&#38646;&#26143;&#37117;&#26356;.html" TargetMode="External" Id="rId95"/><Relationship Type="http://schemas.openxmlformats.org/officeDocument/2006/relationships/hyperlink" Target="yilan/&#32645;&#26481;&#20844;&#36774;&#37325;&#21123;.html" TargetMode="External" Id="rId96"/><Relationship Type="http://schemas.openxmlformats.org/officeDocument/2006/relationships/hyperlink" Target="yilan/&#23452;&#34349;&#24066;&#23567;&#22411;&#33258;&#36774;&#37325;&#21123;.html" TargetMode="External" Id="rId97"/><Relationship Type="http://schemas.openxmlformats.org/officeDocument/2006/relationships/hyperlink" Target="yilan/&#32645;&#26481;&#29305;&#23450;&#21312;&#27573;&#24501;&#25910;.html" TargetMode="External" Id="rId98"/><Relationship Type="http://schemas.openxmlformats.org/officeDocument/2006/relationships/hyperlink" Target="yilan/&#33290;&#24066;&#21312;&#38646;&#26143;&#37117;&#26356;.html" TargetMode="External" Id="rId99"/><Relationship Type="http://schemas.openxmlformats.org/officeDocument/2006/relationships/hyperlink" Target="changhua/&#24432;&#21270;&#24066;&#20844;&#36774;&#37325;&#21123;.html" TargetMode="External" Id="rId100"/><Relationship Type="http://schemas.openxmlformats.org/officeDocument/2006/relationships/hyperlink" Target="changhua/&#21729;&#26519;&#20844;&#36774;&#37325;&#21123;.html" TargetMode="External" Id="rId101"/><Relationship Type="http://schemas.openxmlformats.org/officeDocument/2006/relationships/hyperlink" Target="changhua/&#40575;&#28207;&#33258;&#36774;&#37325;&#21123;.html" TargetMode="External" Id="rId102"/><Relationship Type="http://schemas.openxmlformats.org/officeDocument/2006/relationships/hyperlink" Target="changhua/&#21644;&#32654;&#33258;&#36774;&#37325;&#21123;.html" TargetMode="External" Id="rId103"/><Relationship Type="http://schemas.openxmlformats.org/officeDocument/2006/relationships/hyperlink" Target="changhua/&#20854;&#20182;&#37129;&#37806;&#22823;&#37327;&#33258;&#36774;&#26696;.html" TargetMode="External" Id="rId104"/><Relationship Type="http://schemas.openxmlformats.org/officeDocument/2006/relationships/hyperlink" Target="changhua/&#65288;&#20840;&#21488;&#33258;&#36774;&#37325;&#21123;&#23494;&#24230;&#26368;&#39640;&#65289;.html" TargetMode="External" Id="rId105"/><Relationship Type="http://schemas.openxmlformats.org/officeDocument/2006/relationships/hyperlink" Target="changhua/&#33290;&#24066;&#21312;&#38646;&#26143;&#37117;&#26356;.html" TargetMode="External" Id="rId106"/><Relationship Type="http://schemas.openxmlformats.org/officeDocument/2006/relationships/hyperlink" Target="nantou/&#32291;&#27835;&#23567;&#22411;&#20844;&#36774;&#26696;.html" TargetMode="External" Id="rId107"/><Relationship Type="http://schemas.openxmlformats.org/officeDocument/2006/relationships/hyperlink" Target="nantou/&#22484;&#37324;&#33258;&#36774;&#37325;&#21123;.html" TargetMode="External" Id="rId108"/><Relationship Type="http://schemas.openxmlformats.org/officeDocument/2006/relationships/hyperlink" Target="nantou/&#33609;&#23663;&#33258;&#36774;&#37325;&#21123;.html" TargetMode="External" Id="rId109"/><Relationship Type="http://schemas.openxmlformats.org/officeDocument/2006/relationships/hyperlink" Target="nantou/&#31481;&#23665;&#33258;&#36774;&#37325;&#21123;.html" TargetMode="External" Id="rId110"/><Relationship Type="http://schemas.openxmlformats.org/officeDocument/2006/relationships/hyperlink" Target="nantou/&#33290;&#24066;&#21312;&#38646;&#26143;&#37117;&#26356;.html" TargetMode="External" Id="rId111"/><Relationship Type="http://schemas.openxmlformats.org/officeDocument/2006/relationships/hyperlink" Target="yunlin/&#32291;&#27835;&#23567;&#22411;&#20844;&#36774;&#26696;.html" TargetMode="External" Id="rId112"/><Relationship Type="http://schemas.openxmlformats.org/officeDocument/2006/relationships/hyperlink" Target="yunlin/&#26007;&#20845;&#33258;&#36774;&#37325;&#21123;.html" TargetMode="External" Id="rId113"/><Relationship Type="http://schemas.openxmlformats.org/officeDocument/2006/relationships/hyperlink" Target="yunlin/&#34382;&#23614;&#33258;&#36774;&#37325;&#21123;.html" TargetMode="External" Id="rId114"/><Relationship Type="http://schemas.openxmlformats.org/officeDocument/2006/relationships/hyperlink" Target="yunlin/&#21271;&#28207;&#33258;&#36774;&#37325;&#21123;.html" TargetMode="External" Id="rId115"/><Relationship Type="http://schemas.openxmlformats.org/officeDocument/2006/relationships/hyperlink" Target="yunlin/&#20854;&#20182;&#37129;&#37806;&#33258;&#36774;&#26696;.html" TargetMode="External" Id="rId116"/><Relationship Type="http://schemas.openxmlformats.org/officeDocument/2006/relationships/hyperlink" Target="yunlin/&#33290;&#24066;&#21312;&#38646;&#26143;&#37117;&#26356;.html" TargetMode="External" Id="rId117"/><Relationship Type="http://schemas.openxmlformats.org/officeDocument/2006/relationships/hyperlink" Target="chiayi-city/&#24066;&#21312;&#23567;&#22411;&#20844;&#36774;&#26696;.html" TargetMode="External" Id="rId118"/><Relationship Type="http://schemas.openxmlformats.org/officeDocument/2006/relationships/hyperlink" Target="chiayi-city/&#24066;&#21312;&#23567;&#22411;&#33258;&#36774;&#37325;&#21123;.html" TargetMode="External" Id="rId119"/><Relationship Type="http://schemas.openxmlformats.org/officeDocument/2006/relationships/hyperlink" Target="chiayi-city/&#33290;&#24066;&#21312;&#37117;&#26356;.html" TargetMode="External" Id="rId120"/><Relationship Type="http://schemas.openxmlformats.org/officeDocument/2006/relationships/hyperlink" Target="chiayi-county/&#22826;&#20445;&#20844;&#36774;&#37325;&#21123;.html" TargetMode="External" Id="rId121"/><Relationship Type="http://schemas.openxmlformats.org/officeDocument/2006/relationships/hyperlink" Target="chiayi-county/&#26420;&#23376;&#20844;&#36774;&#37325;&#21123;.html" TargetMode="External" Id="rId122"/><Relationship Type="http://schemas.openxmlformats.org/officeDocument/2006/relationships/hyperlink" Target="chiayi-county/&#37129;&#37806;&#38646;&#26143;&#33258;&#36774;&#26696;.html" TargetMode="External" Id="rId123"/><Relationship Type="http://schemas.openxmlformats.org/officeDocument/2006/relationships/hyperlink" Target="chiayi-county/&#33290;&#24066;&#21312;&#38646;&#26143;&#37117;&#26356;.html" TargetMode="External" Id="rId124"/><Relationship Type="http://schemas.openxmlformats.org/officeDocument/2006/relationships/hyperlink" Target="pingtung/&#23631;&#26481;&#24066;&#20844;&#36774;&#37325;&#21123;.html" TargetMode="External" Id="rId125"/><Relationship Type="http://schemas.openxmlformats.org/officeDocument/2006/relationships/hyperlink" Target="pingtung/&#28526;&#24030;&#33258;&#36774;&#37325;&#21123;.html" TargetMode="External" Id="rId126"/><Relationship Type="http://schemas.openxmlformats.org/officeDocument/2006/relationships/hyperlink" Target="pingtung/&#20839;&#22484;&#33258;&#36774;&#37325;&#21123;.html" TargetMode="External" Id="rId127"/><Relationship Type="http://schemas.openxmlformats.org/officeDocument/2006/relationships/hyperlink" Target="pingtung/&#20854;&#20182;&#37129;&#37806;&#33258;&#36774;&#26696;.html" TargetMode="External" Id="rId128"/><Relationship Type="http://schemas.openxmlformats.org/officeDocument/2006/relationships/hyperlink" Target="pingtung/&#33290;&#24066;&#21312;&#38646;&#26143;&#37117;&#26356;.html" TargetMode="External" Id="rId129"/><Relationship Type="http://schemas.openxmlformats.org/officeDocument/2006/relationships/hyperlink" Target="hualien/&#32291;&#27835;&#23567;&#22411;&#20844;&#36774;&#26696;.html" TargetMode="External" Id="rId130"/><Relationship Type="http://schemas.openxmlformats.org/officeDocument/2006/relationships/hyperlink" Target="hualien/&#32291;&#27835;&#38646;&#26143;&#23567;&#22411;&#33258;&#36774;&#26696;.html" TargetMode="External" Id="rId131"/><Relationship Type="http://schemas.openxmlformats.org/officeDocument/2006/relationships/hyperlink" Target="hualien/&#33457;&#34030;&#24066;&#20844;&#20849;&#24314;&#35373;&#21312;&#27573;&#24501;&#25910;.html" TargetMode="External" Id="rId132"/><Relationship Type="http://schemas.openxmlformats.org/officeDocument/2006/relationships/hyperlink" Target="hualien/&#33290;&#24066;&#21312;&#38646;&#26143;&#37117;&#26356;.html" TargetMode="External" Id="rId133"/><Relationship Type="http://schemas.openxmlformats.org/officeDocument/2006/relationships/hyperlink" Target="taitung/&#32291;&#27835;&#23567;&#22411;&#20844;&#36774;&#26696;.html" TargetMode="External" Id="rId134"/><Relationship Type="http://schemas.openxmlformats.org/officeDocument/2006/relationships/hyperlink" Target="taitung/&#32291;&#27835;&#38646;&#26143;&#23567;&#22411;&#33258;&#36774;&#26696;.html" TargetMode="External" Id="rId135"/><Relationship Type="http://schemas.openxmlformats.org/officeDocument/2006/relationships/hyperlink" Target="taitung/&#33274;&#26481;&#24066;&#21312;&#21312;&#27573;&#24501;&#25910;.html" TargetMode="External" Id="rId136"/><Relationship Type="http://schemas.openxmlformats.org/officeDocument/2006/relationships/hyperlink" Target="taitung/&#33290;&#24066;&#21312;&#38646;&#26143;&#37117;&#26356;.html" TargetMode="External" Id="rId137"/><Relationship Type="http://schemas.openxmlformats.org/officeDocument/2006/relationships/hyperlink" Target="penghu/&#28961;&#22823;&#22411;&#20303;&#23429;&#37325;&#21123;.html" TargetMode="External" Id="rId138"/><Relationship Type="http://schemas.openxmlformats.org/officeDocument/2006/relationships/hyperlink" Target="penghu/&#24190;&#20046;&#28961;.html" TargetMode="External" Id="rId139"/><Relationship Type="http://schemas.openxmlformats.org/officeDocument/2006/relationships/hyperlink" Target="penghu/&#20677;&#20844;&#20849;&#24314;&#35373;&#39006;.html" TargetMode="External" Id="rId140"/><Relationship Type="http://schemas.openxmlformats.org/officeDocument/2006/relationships/hyperlink" Target="kinmen/&#28961;&#22823;&#22411;&#20303;&#23429;&#37325;&#21123;.html" TargetMode="External" Id="rId141"/><Relationship Type="http://schemas.openxmlformats.org/officeDocument/2006/relationships/hyperlink" Target="kinmen/&#24190;&#20046;&#28961;.html" TargetMode="External" Id="rId142"/><Relationship Type="http://schemas.openxmlformats.org/officeDocument/2006/relationships/hyperlink" Target="kinmen/&#20677;&#20844;&#20849;&#24314;&#35373;&#39006;.html" TargetMode="External" Id="rId143"/><Relationship Type="http://schemas.openxmlformats.org/officeDocument/2006/relationships/hyperlink" Target="lienchiang/&#28961;&#22823;&#22411;&#20303;&#23429;&#37325;&#21123;.html" TargetMode="External" Id="rId144"/><Relationship Type="http://schemas.openxmlformats.org/officeDocument/2006/relationships/hyperlink" Target="lienchiang/&#24190;&#20046;&#28961;.html" TargetMode="External" Id="rId145"/><Relationship Type="http://schemas.openxmlformats.org/officeDocument/2006/relationships/hyperlink" Target="lienchiang/&#20677;&#20844;&#20849;&#24314;&#35373;&#39006;.html" TargetMode="External" Id="rId146"/></Relationships>
</file>

<file path=xl/worksheets/_rels/sheet5.xml.rels><Relationships xmlns="http://schemas.openxmlformats.org/package/2006/relationships"><Relationship Type="http://schemas.openxmlformats.org/officeDocument/2006/relationships/hyperlink" Target="taipei/index.html" TargetMode="External" Id="rId1"/><Relationship Type="http://schemas.openxmlformats.org/officeDocument/2006/relationships/hyperlink" Target="taipei/public-urban-land-readjustment.html" TargetMode="External" Id="rId2"/><Relationship Type="http://schemas.openxmlformats.org/officeDocument/2006/relationships/hyperlink" Target="taipei/private-urban-land-readjustment.html" TargetMode="External" Id="rId3"/><Relationship Type="http://schemas.openxmlformats.org/officeDocument/2006/relationships/hyperlink" Target="taipei/zone-expropriation.html" TargetMode="External" Id="rId4"/><Relationship Type="http://schemas.openxmlformats.org/officeDocument/2006/relationships/hyperlink" Target="taipei/urban-renewal.html" TargetMode="External" Id="rId5"/><Relationship Type="http://schemas.openxmlformats.org/officeDocument/2006/relationships/hyperlink" Target="taipei/&#30334;&#31185;-&#33274;&#21271;&#24066;&#37325;&#21123;&#21312;&#33287;&#24314;&#26696;.html" TargetMode="External" Id="rId6"/><Relationship Type="http://schemas.openxmlformats.org/officeDocument/2006/relationships/hyperlink" Target="new-taipei/index.html" TargetMode="External" Id="rId7"/><Relationship Type="http://schemas.openxmlformats.org/officeDocument/2006/relationships/hyperlink" Target="new-taipei/public-urban-land-readjustment.html" TargetMode="External" Id="rId8"/><Relationship Type="http://schemas.openxmlformats.org/officeDocument/2006/relationships/hyperlink" Target="new-taipei/private-urban-land-readjustment.html" TargetMode="External" Id="rId9"/><Relationship Type="http://schemas.openxmlformats.org/officeDocument/2006/relationships/hyperlink" Target="new-taipei/zone-expropriation.html" TargetMode="External" Id="rId10"/><Relationship Type="http://schemas.openxmlformats.org/officeDocument/2006/relationships/hyperlink" Target="new-taipei/urban-renewal.html" TargetMode="External" Id="rId11"/><Relationship Type="http://schemas.openxmlformats.org/officeDocument/2006/relationships/hyperlink" Target="new-taipei/&#26032;&#21271;&#24066;&#37325;&#21123;&#21312;&#33287;&#24314;&#26696;.html" TargetMode="External" Id="rId12"/><Relationship Type="http://schemas.openxmlformats.org/officeDocument/2006/relationships/hyperlink" Target="taoyuan/index.html" TargetMode="External" Id="rId13"/><Relationship Type="http://schemas.openxmlformats.org/officeDocument/2006/relationships/hyperlink" Target="taoyuan/public-urban-land-readjustment.html" TargetMode="External" Id="rId14"/><Relationship Type="http://schemas.openxmlformats.org/officeDocument/2006/relationships/hyperlink" Target="taoyuan/private-urban-land-readjustment.html" TargetMode="External" Id="rId15"/><Relationship Type="http://schemas.openxmlformats.org/officeDocument/2006/relationships/hyperlink" Target="taoyuan/zone-expropriation.html" TargetMode="External" Id="rId16"/><Relationship Type="http://schemas.openxmlformats.org/officeDocument/2006/relationships/hyperlink" Target="taoyuan/urban-renewal.html" TargetMode="External" Id="rId17"/><Relationship Type="http://schemas.openxmlformats.org/officeDocument/2006/relationships/hyperlink" Target="taoyuan/encyclopedia.html" TargetMode="External" Id="rId18"/><Relationship Type="http://schemas.openxmlformats.org/officeDocument/2006/relationships/hyperlink" Target="taichung/index.html" TargetMode="External" Id="rId19"/><Relationship Type="http://schemas.openxmlformats.org/officeDocument/2006/relationships/hyperlink" Target="taichung/public-urban-land-readjustment.html" TargetMode="External" Id="rId20"/><Relationship Type="http://schemas.openxmlformats.org/officeDocument/2006/relationships/hyperlink" Target="taichung/private-urban-land-readjustment.html" TargetMode="External" Id="rId21"/><Relationship Type="http://schemas.openxmlformats.org/officeDocument/2006/relationships/hyperlink" Target="taichung/zone-expropriation.html" TargetMode="External" Id="rId22"/><Relationship Type="http://schemas.openxmlformats.org/officeDocument/2006/relationships/hyperlink" Target="taichung/urban-renewal.html" TargetMode="External" Id="rId23"/><Relationship Type="http://schemas.openxmlformats.org/officeDocument/2006/relationships/hyperlink" Target="taichung/&#30334;&#31185;-&#33274;&#20013;&#24066;&#37325;&#21123;&#21312;&#33287;&#24314;&#26696;.html" TargetMode="External" Id="rId24"/><Relationship Type="http://schemas.openxmlformats.org/officeDocument/2006/relationships/hyperlink" Target="tainan/index.html" TargetMode="External" Id="rId25"/><Relationship Type="http://schemas.openxmlformats.org/officeDocument/2006/relationships/hyperlink" Target="tainan/public-urban-land-readjustment.html" TargetMode="External" Id="rId26"/><Relationship Type="http://schemas.openxmlformats.org/officeDocument/2006/relationships/hyperlink" Target="tainan/private-urban-land-readjustment.html" TargetMode="External" Id="rId27"/><Relationship Type="http://schemas.openxmlformats.org/officeDocument/2006/relationships/hyperlink" Target="tainan/zone-expropriation.html" TargetMode="External" Id="rId28"/><Relationship Type="http://schemas.openxmlformats.org/officeDocument/2006/relationships/hyperlink" Target="tainan/urban-renewal.html" TargetMode="External" Id="rId29"/><Relationship Type="http://schemas.openxmlformats.org/officeDocument/2006/relationships/hyperlink" Target="tainan/&#30334;&#31185;-&#33274;&#21335;&#24066;&#37325;&#21123;&#21312;&#33287;&#24314;&#26696;.html" TargetMode="External" Id="rId30"/><Relationship Type="http://schemas.openxmlformats.org/officeDocument/2006/relationships/hyperlink" Target="kaohsiung/index.html" TargetMode="External" Id="rId31"/><Relationship Type="http://schemas.openxmlformats.org/officeDocument/2006/relationships/hyperlink" Target="kaohsiung/public-urban-land-readjustment.html" TargetMode="External" Id="rId32"/><Relationship Type="http://schemas.openxmlformats.org/officeDocument/2006/relationships/hyperlink" Target="kaohsiung/private-urban-land-readjustment.html" TargetMode="External" Id="rId33"/><Relationship Type="http://schemas.openxmlformats.org/officeDocument/2006/relationships/hyperlink" Target="kaohsiung/zone-expropriation.html" TargetMode="External" Id="rId34"/><Relationship Type="http://schemas.openxmlformats.org/officeDocument/2006/relationships/hyperlink" Target="kaohsiung/urban-renewal.html" TargetMode="External" Id="rId35"/><Relationship Type="http://schemas.openxmlformats.org/officeDocument/2006/relationships/hyperlink" Target="kaohsiung/&#30334;&#31185;-&#39640;&#38596;&#24066;&#37325;&#21123;&#21312;&#33287;&#24314;&#26696;.html" TargetMode="External" Id="rId36"/><Relationship Type="http://schemas.openxmlformats.org/officeDocument/2006/relationships/hyperlink" Target="keelung/index.html" TargetMode="External" Id="rId37"/><Relationship Type="http://schemas.openxmlformats.org/officeDocument/2006/relationships/hyperlink" Target="keelung/public-urban-land-readjustment.html" TargetMode="External" Id="rId38"/><Relationship Type="http://schemas.openxmlformats.org/officeDocument/2006/relationships/hyperlink" Target="keelung/private-urban-land-readjustment.html" TargetMode="External" Id="rId39"/><Relationship Type="http://schemas.openxmlformats.org/officeDocument/2006/relationships/hyperlink" Target="keelung/zone-expropriation.html" TargetMode="External" Id="rId40"/><Relationship Type="http://schemas.openxmlformats.org/officeDocument/2006/relationships/hyperlink" Target="keelung/urban-renewal.html" TargetMode="External" Id="rId41"/><Relationship Type="http://schemas.openxmlformats.org/officeDocument/2006/relationships/hyperlink" Target="keelung/&#30334;&#31185;-&#22522;&#38534;&#24066;&#37325;&#21123;&#21312;&#33287;&#24314;&#26696;.html" TargetMode="External" Id="rId42"/><Relationship Type="http://schemas.openxmlformats.org/officeDocument/2006/relationships/hyperlink" Target="hsinchu-city/index.html" TargetMode="External" Id="rId43"/><Relationship Type="http://schemas.openxmlformats.org/officeDocument/2006/relationships/hyperlink" Target="hsinchu-city/public-urban-land-readjustment.html" TargetMode="External" Id="rId44"/><Relationship Type="http://schemas.openxmlformats.org/officeDocument/2006/relationships/hyperlink" Target="hsinchu-city/private-urban-land-readjustment.html" TargetMode="External" Id="rId45"/><Relationship Type="http://schemas.openxmlformats.org/officeDocument/2006/relationships/hyperlink" Target="hsinchu-city/zone-expropriation.html" TargetMode="External" Id="rId46"/><Relationship Type="http://schemas.openxmlformats.org/officeDocument/2006/relationships/hyperlink" Target="hsinchu-city/urban-renewal.html" TargetMode="External" Id="rId47"/><Relationship Type="http://schemas.openxmlformats.org/officeDocument/2006/relationships/hyperlink" Target="hsinchu-city/&#30334;&#31185;-&#26032;&#31481;&#24066;&#37325;&#21123;&#21312;&#33287;&#24314;&#26696;.html" TargetMode="External" Id="rId48"/><Relationship Type="http://schemas.openxmlformats.org/officeDocument/2006/relationships/hyperlink" Target="hsinchu-county/index.html" TargetMode="External" Id="rId49"/><Relationship Type="http://schemas.openxmlformats.org/officeDocument/2006/relationships/hyperlink" Target="hsinchu-county/public-urban-land-readjustment.html" TargetMode="External" Id="rId50"/><Relationship Type="http://schemas.openxmlformats.org/officeDocument/2006/relationships/hyperlink" Target="hsinchu-county/private-urban-land-readjustment.html" TargetMode="External" Id="rId51"/><Relationship Type="http://schemas.openxmlformats.org/officeDocument/2006/relationships/hyperlink" Target="hsinchu-county/zone-expropriation.html" TargetMode="External" Id="rId52"/><Relationship Type="http://schemas.openxmlformats.org/officeDocument/2006/relationships/hyperlink" Target="hsinchu-county/urban-renewal.html" TargetMode="External" Id="rId53"/><Relationship Type="http://schemas.openxmlformats.org/officeDocument/2006/relationships/hyperlink" Target="hsinchu-county/&#30334;&#31185;-&#26032;&#31481;&#32291;&#37325;&#21123;&#21312;&#33287;&#24314;&#26696;.html" TargetMode="External" Id="rId54"/><Relationship Type="http://schemas.openxmlformats.org/officeDocument/2006/relationships/hyperlink" Target="miaoli/index.html" TargetMode="External" Id="rId55"/><Relationship Type="http://schemas.openxmlformats.org/officeDocument/2006/relationships/hyperlink" Target="miaoli/public-urban-land-readjustment.html" TargetMode="External" Id="rId56"/><Relationship Type="http://schemas.openxmlformats.org/officeDocument/2006/relationships/hyperlink" Target="miaoli/private-urban-land-readjustment.html" TargetMode="External" Id="rId57"/><Relationship Type="http://schemas.openxmlformats.org/officeDocument/2006/relationships/hyperlink" Target="miaoli/zone-expropriation.html" TargetMode="External" Id="rId58"/><Relationship Type="http://schemas.openxmlformats.org/officeDocument/2006/relationships/hyperlink" Target="miaoli/urban-renewal.html" TargetMode="External" Id="rId59"/><Relationship Type="http://schemas.openxmlformats.org/officeDocument/2006/relationships/hyperlink" Target="miaoli/&#30334;&#31185;-&#33495;&#26647;&#32291;&#37325;&#21123;&#21312;&#33287;&#24314;&#26696;.html" TargetMode="External" Id="rId60"/><Relationship Type="http://schemas.openxmlformats.org/officeDocument/2006/relationships/hyperlink" Target="yilan/index.html" TargetMode="External" Id="rId61"/><Relationship Type="http://schemas.openxmlformats.org/officeDocument/2006/relationships/hyperlink" Target="yilan/public-urban-land-readjustment.html" TargetMode="External" Id="rId62"/><Relationship Type="http://schemas.openxmlformats.org/officeDocument/2006/relationships/hyperlink" Target="yilan/private-urban-land-readjustment.html" TargetMode="External" Id="rId63"/><Relationship Type="http://schemas.openxmlformats.org/officeDocument/2006/relationships/hyperlink" Target="yilan/zone-expropriation.html" TargetMode="External" Id="rId64"/><Relationship Type="http://schemas.openxmlformats.org/officeDocument/2006/relationships/hyperlink" Target="yilan/urban-renewal.html" TargetMode="External" Id="rId65"/><Relationship Type="http://schemas.openxmlformats.org/officeDocument/2006/relationships/hyperlink" Target="yilan/&#30334;&#31185;-&#23452;&#34349;&#32291;&#37325;&#21123;&#21312;&#33287;&#24314;&#26696;.html" TargetMode="External" Id="rId66"/><Relationship Type="http://schemas.openxmlformats.org/officeDocument/2006/relationships/hyperlink" Target="changhua/index.html" TargetMode="External" Id="rId67"/><Relationship Type="http://schemas.openxmlformats.org/officeDocument/2006/relationships/hyperlink" Target="changhua/public-urban-land-readjustment.html" TargetMode="External" Id="rId68"/><Relationship Type="http://schemas.openxmlformats.org/officeDocument/2006/relationships/hyperlink" Target="changhua/private-urban-land-readjustment.html" TargetMode="External" Id="rId69"/><Relationship Type="http://schemas.openxmlformats.org/officeDocument/2006/relationships/hyperlink" Target="changhua/zone-expropriation.html" TargetMode="External" Id="rId70"/><Relationship Type="http://schemas.openxmlformats.org/officeDocument/2006/relationships/hyperlink" Target="changhua/urban-renewal.html" TargetMode="External" Id="rId71"/><Relationship Type="http://schemas.openxmlformats.org/officeDocument/2006/relationships/hyperlink" Target="changhua/&#30334;&#31185;-&#24432;&#21270;&#32291;&#37325;&#21123;&#21312;&#33287;&#24314;&#26696;.html" TargetMode="External" Id="rId72"/><Relationship Type="http://schemas.openxmlformats.org/officeDocument/2006/relationships/hyperlink" Target="nantou/index.html" TargetMode="External" Id="rId73"/><Relationship Type="http://schemas.openxmlformats.org/officeDocument/2006/relationships/hyperlink" Target="nantou/public-urban-land-readjustment.html" TargetMode="External" Id="rId74"/><Relationship Type="http://schemas.openxmlformats.org/officeDocument/2006/relationships/hyperlink" Target="nantou/private-urban-land-readjustment.html" TargetMode="External" Id="rId75"/><Relationship Type="http://schemas.openxmlformats.org/officeDocument/2006/relationships/hyperlink" Target="nantou/zone-expropriation.html" TargetMode="External" Id="rId76"/><Relationship Type="http://schemas.openxmlformats.org/officeDocument/2006/relationships/hyperlink" Target="nantou/urban-renewal.html" TargetMode="External" Id="rId77"/><Relationship Type="http://schemas.openxmlformats.org/officeDocument/2006/relationships/hyperlink" Target="nantou/&#30334;&#31185;-&#21335;&#25237;&#32291;&#37325;&#21123;&#21312;&#33287;&#24314;&#26696;.html" TargetMode="External" Id="rId78"/><Relationship Type="http://schemas.openxmlformats.org/officeDocument/2006/relationships/hyperlink" Target="yunlin/index.html" TargetMode="External" Id="rId79"/><Relationship Type="http://schemas.openxmlformats.org/officeDocument/2006/relationships/hyperlink" Target="yunlin/public-urban-land-readjustment.html" TargetMode="External" Id="rId80"/><Relationship Type="http://schemas.openxmlformats.org/officeDocument/2006/relationships/hyperlink" Target="yunlin/private-urban-land-readjustment.html" TargetMode="External" Id="rId81"/><Relationship Type="http://schemas.openxmlformats.org/officeDocument/2006/relationships/hyperlink" Target="yunlin/zone-expropriation.html" TargetMode="External" Id="rId82"/><Relationship Type="http://schemas.openxmlformats.org/officeDocument/2006/relationships/hyperlink" Target="yunlin/urban-renewal.html" TargetMode="External" Id="rId83"/><Relationship Type="http://schemas.openxmlformats.org/officeDocument/2006/relationships/hyperlink" Target="yunlin/&#30334;&#31185;-&#38642;&#26519;&#32291;&#37325;&#21123;&#21312;&#33287;&#24314;&#26696;.html" TargetMode="External" Id="rId84"/><Relationship Type="http://schemas.openxmlformats.org/officeDocument/2006/relationships/hyperlink" Target="chiayi-city/index.html" TargetMode="External" Id="rId85"/><Relationship Type="http://schemas.openxmlformats.org/officeDocument/2006/relationships/hyperlink" Target="chiayi-city/public-urban-land-readjustment.html" TargetMode="External" Id="rId86"/><Relationship Type="http://schemas.openxmlformats.org/officeDocument/2006/relationships/hyperlink" Target="chiayi-city/private-urban-land-readjustment.html" TargetMode="External" Id="rId87"/><Relationship Type="http://schemas.openxmlformats.org/officeDocument/2006/relationships/hyperlink" Target="chiayi-city/zone-expropriation.html" TargetMode="External" Id="rId88"/><Relationship Type="http://schemas.openxmlformats.org/officeDocument/2006/relationships/hyperlink" Target="chiayi-city/urban-renewal.html" TargetMode="External" Id="rId89"/><Relationship Type="http://schemas.openxmlformats.org/officeDocument/2006/relationships/hyperlink" Target="chiayi-city/&#30334;&#31185;-&#22025;&#32681;&#24066;&#37325;&#21123;&#21312;&#33287;&#24314;&#26696;.html" TargetMode="External" Id="rId90"/><Relationship Type="http://schemas.openxmlformats.org/officeDocument/2006/relationships/hyperlink" Target="chiayi-county/index.html" TargetMode="External" Id="rId91"/><Relationship Type="http://schemas.openxmlformats.org/officeDocument/2006/relationships/hyperlink" Target="chiayi-county/public-urban-land-readjustment.html" TargetMode="External" Id="rId92"/><Relationship Type="http://schemas.openxmlformats.org/officeDocument/2006/relationships/hyperlink" Target="chiayi-county/private-urban-land-readjustment.html" TargetMode="External" Id="rId93"/><Relationship Type="http://schemas.openxmlformats.org/officeDocument/2006/relationships/hyperlink" Target="chiayi-county/zone-expropriation.html" TargetMode="External" Id="rId94"/><Relationship Type="http://schemas.openxmlformats.org/officeDocument/2006/relationships/hyperlink" Target="chiayi-county/urban-renewal.html" TargetMode="External" Id="rId95"/><Relationship Type="http://schemas.openxmlformats.org/officeDocument/2006/relationships/hyperlink" Target="chiayi-county/&#30334;&#31185;-&#22025;&#32681;&#32291;&#37325;&#21123;&#21312;&#33287;&#24314;&#26696;.html" TargetMode="External" Id="rId96"/><Relationship Type="http://schemas.openxmlformats.org/officeDocument/2006/relationships/hyperlink" Target="pingtung/index.html" TargetMode="External" Id="rId97"/><Relationship Type="http://schemas.openxmlformats.org/officeDocument/2006/relationships/hyperlink" Target="pingtung/public-urban-land-readjustment.html" TargetMode="External" Id="rId98"/><Relationship Type="http://schemas.openxmlformats.org/officeDocument/2006/relationships/hyperlink" Target="pingtung/private-urban-land-readjustment.html" TargetMode="External" Id="rId99"/><Relationship Type="http://schemas.openxmlformats.org/officeDocument/2006/relationships/hyperlink" Target="pingtung/zone-expropriation.html" TargetMode="External" Id="rId100"/><Relationship Type="http://schemas.openxmlformats.org/officeDocument/2006/relationships/hyperlink" Target="pingtung/urban-renewal.html" TargetMode="External" Id="rId101"/><Relationship Type="http://schemas.openxmlformats.org/officeDocument/2006/relationships/hyperlink" Target="pingtung/&#30334;&#31185;-&#23631;&#26481;&#32291;&#37325;&#21123;&#21312;&#33287;&#24314;&#26696;.html" TargetMode="External" Id="rId102"/><Relationship Type="http://schemas.openxmlformats.org/officeDocument/2006/relationships/hyperlink" Target="hualien/index.html" TargetMode="External" Id="rId103"/><Relationship Type="http://schemas.openxmlformats.org/officeDocument/2006/relationships/hyperlink" Target="hualien/public-urban-land-readjustment.html" TargetMode="External" Id="rId104"/><Relationship Type="http://schemas.openxmlformats.org/officeDocument/2006/relationships/hyperlink" Target="hualien/private-urban-land-readjustment.html" TargetMode="External" Id="rId105"/><Relationship Type="http://schemas.openxmlformats.org/officeDocument/2006/relationships/hyperlink" Target="hualien/zone-expropriation.html" TargetMode="External" Id="rId106"/><Relationship Type="http://schemas.openxmlformats.org/officeDocument/2006/relationships/hyperlink" Target="hualien/urban-renewal.html" TargetMode="External" Id="rId107"/><Relationship Type="http://schemas.openxmlformats.org/officeDocument/2006/relationships/hyperlink" Target="hualien/&#30334;&#31185;-&#33457;&#34030;&#32291;&#37325;&#21123;&#21312;&#33287;&#24314;&#26696;.html" TargetMode="External" Id="rId108"/><Relationship Type="http://schemas.openxmlformats.org/officeDocument/2006/relationships/hyperlink" Target="taitung/index.html" TargetMode="External" Id="rId109"/><Relationship Type="http://schemas.openxmlformats.org/officeDocument/2006/relationships/hyperlink" Target="taitung/public-urban-land-readjustment.html" TargetMode="External" Id="rId110"/><Relationship Type="http://schemas.openxmlformats.org/officeDocument/2006/relationships/hyperlink" Target="taitung/private-urban-land-readjustment.html" TargetMode="External" Id="rId111"/><Relationship Type="http://schemas.openxmlformats.org/officeDocument/2006/relationships/hyperlink" Target="taitung/zone-expropriation.html" TargetMode="External" Id="rId112"/><Relationship Type="http://schemas.openxmlformats.org/officeDocument/2006/relationships/hyperlink" Target="taitung/urban-renewal.html" TargetMode="External" Id="rId113"/><Relationship Type="http://schemas.openxmlformats.org/officeDocument/2006/relationships/hyperlink" Target="taitung/&#30334;&#31185;-&#33274;&#26481;&#32291;&#37325;&#21123;&#21312;&#33287;&#24314;&#26696;.html" TargetMode="External" Id="rId114"/><Relationship Type="http://schemas.openxmlformats.org/officeDocument/2006/relationships/hyperlink" Target="penghu/index.html" TargetMode="External" Id="rId115"/><Relationship Type="http://schemas.openxmlformats.org/officeDocument/2006/relationships/hyperlink" Target="penghu/public-urban-land-readjustment.html" TargetMode="External" Id="rId116"/><Relationship Type="http://schemas.openxmlformats.org/officeDocument/2006/relationships/hyperlink" Target="penghu/private-urban-land-readjustment.html" TargetMode="External" Id="rId117"/><Relationship Type="http://schemas.openxmlformats.org/officeDocument/2006/relationships/hyperlink" Target="penghu/zone-expropriation.html" TargetMode="External" Id="rId118"/><Relationship Type="http://schemas.openxmlformats.org/officeDocument/2006/relationships/hyperlink" Target="penghu/urban-renewal.html" TargetMode="External" Id="rId119"/><Relationship Type="http://schemas.openxmlformats.org/officeDocument/2006/relationships/hyperlink" Target="penghu/&#30334;&#31185;-&#28558;&#28246;&#32291;&#37325;&#21123;&#21312;&#33287;&#24314;&#26696;.html" TargetMode="External" Id="rId120"/><Relationship Type="http://schemas.openxmlformats.org/officeDocument/2006/relationships/hyperlink" Target="kinmen/index.html" TargetMode="External" Id="rId121"/><Relationship Type="http://schemas.openxmlformats.org/officeDocument/2006/relationships/hyperlink" Target="kinmen/public-urban-land-readjustment.html" TargetMode="External" Id="rId122"/><Relationship Type="http://schemas.openxmlformats.org/officeDocument/2006/relationships/hyperlink" Target="kinmen/private-urban-land-readjustment.html" TargetMode="External" Id="rId123"/><Relationship Type="http://schemas.openxmlformats.org/officeDocument/2006/relationships/hyperlink" Target="kinmen/zone-expropriation.html" TargetMode="External" Id="rId124"/><Relationship Type="http://schemas.openxmlformats.org/officeDocument/2006/relationships/hyperlink" Target="kinmen/urban-renewal.html" TargetMode="External" Id="rId125"/><Relationship Type="http://schemas.openxmlformats.org/officeDocument/2006/relationships/hyperlink" Target="kinmen/&#30334;&#31185;-&#37329;&#38272;&#32291;&#37325;&#21123;&#21312;&#33287;&#24314;&#26696;.html" TargetMode="External" Id="rId126"/><Relationship Type="http://schemas.openxmlformats.org/officeDocument/2006/relationships/hyperlink" Target="lienchiang/index.html" TargetMode="External" Id="rId127"/><Relationship Type="http://schemas.openxmlformats.org/officeDocument/2006/relationships/hyperlink" Target="lienchiang/public-urban-land-readjustment.html" TargetMode="External" Id="rId128"/><Relationship Type="http://schemas.openxmlformats.org/officeDocument/2006/relationships/hyperlink" Target="lienchiang/private-urban-land-readjustment.html" TargetMode="External" Id="rId129"/><Relationship Type="http://schemas.openxmlformats.org/officeDocument/2006/relationships/hyperlink" Target="lienchiang/zone-expropriation.html" TargetMode="External" Id="rId130"/><Relationship Type="http://schemas.openxmlformats.org/officeDocument/2006/relationships/hyperlink" Target="lienchiang/urban-renewal.html" TargetMode="External" Id="rId131"/><Relationship Type="http://schemas.openxmlformats.org/officeDocument/2006/relationships/hyperlink" Target="lienchiang/&#30334;&#31185;-&#36899;&#27743;&#32291;&#37325;&#21123;&#21312;&#33287;&#24314;&#26696;.html" TargetMode="External" Id="rId132"/></Relationships>
</file>

<file path=xl/worksheets/_rels/sheet6.xml.rels><Relationships xmlns="http://schemas.openxmlformats.org/package/2006/relationships"><Relationship Type="http://schemas.openxmlformats.org/officeDocument/2006/relationships/hyperlink" Target="index.html" TargetMode="External" Id="rId1"/><Relationship Type="http://schemas.openxmlformats.org/officeDocument/2006/relationships/hyperlink" Target="toc.html" TargetMode="External" Id="rId2"/><Relationship Type="http://schemas.openxmlformats.org/officeDocument/2006/relationships/hyperlink" Target="&#21488;&#28771;22&#32291;&#24066;&#37325;&#21123;&#21312;_&#25972;&#21512;&#23566;&#35261;&#20837;&#21475;.html" TargetMode="External" Id="rId3"/><Relationship Type="http://schemas.openxmlformats.org/officeDocument/2006/relationships/hyperlink" Target="&#21488;&#28771;22&#32291;&#24066;&#37325;&#21123;&#21312;&#32317;&#30446;&#37636;-.html" TargetMode="External" Id="rId4"/><Relationship Type="http://schemas.openxmlformats.org/officeDocument/2006/relationships/hyperlink" Target="&#21488;&#28771;22&#32291;&#24066;&#37325;&#21123;&#21312;&#32317;&#30446;&#37636;.html" TargetMode="External" Id="rId5"/><Relationship Type="http://schemas.openxmlformats.org/officeDocument/2006/relationships/hyperlink" Target="&#33274;&#20013;&#24066;&#37325;&#21123;&#21312;&#20840;&#30446;&#37636;-.html" TargetMode="External" Id="rId6"/><Relationship Type="http://schemas.openxmlformats.org/officeDocument/2006/relationships/hyperlink" Target="&#33274;&#20013;&#24066;&#37325;&#21123;&#21312;&#20840;&#30446;&#37636;.html" TargetMode="External" Id="rId7"/><Relationship Type="http://schemas.openxmlformats.org/officeDocument/2006/relationships/hyperlink" Target="&#33274;&#20013;&#24066;&#37325;&#21123;&#21312;&#36023;&#25151;&#23526;&#25136;&#25351;&#21335;-.html" TargetMode="External" Id="rId8"/><Relationship Type="http://schemas.openxmlformats.org/officeDocument/2006/relationships/hyperlink" Target="&#33274;&#20013;&#24066;&#37325;&#21123;&#21312;&#36023;&#25151;&#23526;&#25136;&#25351;&#21335;.html" TargetMode="External" Id="rId9"/><Relationship Type="http://schemas.openxmlformats.org/officeDocument/2006/relationships/hyperlink" Target="taipei/index.html" TargetMode="External" Id="rId10"/><Relationship Type="http://schemas.openxmlformats.org/officeDocument/2006/relationships/hyperlink" Target="taipei/public-urban-land-readjustment.html" TargetMode="External" Id="rId11"/><Relationship Type="http://schemas.openxmlformats.org/officeDocument/2006/relationships/hyperlink" Target="taipei/private-urban-land-readjustment.html" TargetMode="External" Id="rId12"/><Relationship Type="http://schemas.openxmlformats.org/officeDocument/2006/relationships/hyperlink" Target="taipei/zone-expropriation.html" TargetMode="External" Id="rId13"/><Relationship Type="http://schemas.openxmlformats.org/officeDocument/2006/relationships/hyperlink" Target="taipei/urban-renewal.html" TargetMode="External" Id="rId14"/><Relationship Type="http://schemas.openxmlformats.org/officeDocument/2006/relationships/hyperlink" Target="new-taipei/index.html" TargetMode="External" Id="rId15"/><Relationship Type="http://schemas.openxmlformats.org/officeDocument/2006/relationships/hyperlink" Target="new-taipei/public-urban-land-readjustment.html" TargetMode="External" Id="rId16"/><Relationship Type="http://schemas.openxmlformats.org/officeDocument/2006/relationships/hyperlink" Target="new-taipei/private-urban-land-readjustment.html" TargetMode="External" Id="rId17"/><Relationship Type="http://schemas.openxmlformats.org/officeDocument/2006/relationships/hyperlink" Target="new-taipei/zone-expropriation.html" TargetMode="External" Id="rId18"/><Relationship Type="http://schemas.openxmlformats.org/officeDocument/2006/relationships/hyperlink" Target="new-taipei/urban-renewal.html" TargetMode="External" Id="rId19"/><Relationship Type="http://schemas.openxmlformats.org/officeDocument/2006/relationships/hyperlink" Target="taoyuan/index.html" TargetMode="External" Id="rId20"/><Relationship Type="http://schemas.openxmlformats.org/officeDocument/2006/relationships/hyperlink" Target="taoyuan/public-urban-land-readjustment.html" TargetMode="External" Id="rId21"/><Relationship Type="http://schemas.openxmlformats.org/officeDocument/2006/relationships/hyperlink" Target="taoyuan/private-urban-land-readjustment.html" TargetMode="External" Id="rId22"/><Relationship Type="http://schemas.openxmlformats.org/officeDocument/2006/relationships/hyperlink" Target="taoyuan/zone-expropriation.html" TargetMode="External" Id="rId23"/><Relationship Type="http://schemas.openxmlformats.org/officeDocument/2006/relationships/hyperlink" Target="taoyuan/urban-renewal.html" TargetMode="External" Id="rId24"/><Relationship Type="http://schemas.openxmlformats.org/officeDocument/2006/relationships/hyperlink" Target="taichung/index.html" TargetMode="External" Id="rId25"/><Relationship Type="http://schemas.openxmlformats.org/officeDocument/2006/relationships/hyperlink" Target="taichung/public-urban-land-readjustment.html" TargetMode="External" Id="rId26"/><Relationship Type="http://schemas.openxmlformats.org/officeDocument/2006/relationships/hyperlink" Target="taichung/private-urban-land-readjustment.html" TargetMode="External" Id="rId27"/><Relationship Type="http://schemas.openxmlformats.org/officeDocument/2006/relationships/hyperlink" Target="taichung/zone-expropriation.html" TargetMode="External" Id="rId28"/><Relationship Type="http://schemas.openxmlformats.org/officeDocument/2006/relationships/hyperlink" Target="taichung/urban-renewal.html" TargetMode="External" Id="rId29"/><Relationship Type="http://schemas.openxmlformats.org/officeDocument/2006/relationships/hyperlink" Target="tainan/index.html" TargetMode="External" Id="rId30"/><Relationship Type="http://schemas.openxmlformats.org/officeDocument/2006/relationships/hyperlink" Target="tainan/public-urban-land-readjustment.html" TargetMode="External" Id="rId31"/><Relationship Type="http://schemas.openxmlformats.org/officeDocument/2006/relationships/hyperlink" Target="tainan/private-urban-land-readjustment.html" TargetMode="External" Id="rId32"/><Relationship Type="http://schemas.openxmlformats.org/officeDocument/2006/relationships/hyperlink" Target="tainan/zone-expropriation.html" TargetMode="External" Id="rId33"/><Relationship Type="http://schemas.openxmlformats.org/officeDocument/2006/relationships/hyperlink" Target="tainan/urban-renewal.html" TargetMode="External" Id="rId34"/><Relationship Type="http://schemas.openxmlformats.org/officeDocument/2006/relationships/hyperlink" Target="kaohsiung/index.html" TargetMode="External" Id="rId35"/><Relationship Type="http://schemas.openxmlformats.org/officeDocument/2006/relationships/hyperlink" Target="kaohsiung/public-urban-land-readjustment.html" TargetMode="External" Id="rId36"/><Relationship Type="http://schemas.openxmlformats.org/officeDocument/2006/relationships/hyperlink" Target="kaohsiung/private-urban-land-readjustment.html" TargetMode="External" Id="rId37"/><Relationship Type="http://schemas.openxmlformats.org/officeDocument/2006/relationships/hyperlink" Target="kaohsiung/zone-expropriation.html" TargetMode="External" Id="rId38"/><Relationship Type="http://schemas.openxmlformats.org/officeDocument/2006/relationships/hyperlink" Target="kaohsiung/urban-renewal.html" TargetMode="External" Id="rId39"/><Relationship Type="http://schemas.openxmlformats.org/officeDocument/2006/relationships/hyperlink" Target="keelung/index.html" TargetMode="External" Id="rId40"/><Relationship Type="http://schemas.openxmlformats.org/officeDocument/2006/relationships/hyperlink" Target="keelung/public-urban-land-readjustment.html" TargetMode="External" Id="rId41"/><Relationship Type="http://schemas.openxmlformats.org/officeDocument/2006/relationships/hyperlink" Target="keelung/private-urban-land-readjustment.html" TargetMode="External" Id="rId42"/><Relationship Type="http://schemas.openxmlformats.org/officeDocument/2006/relationships/hyperlink" Target="keelung/zone-expropriation.html" TargetMode="External" Id="rId43"/><Relationship Type="http://schemas.openxmlformats.org/officeDocument/2006/relationships/hyperlink" Target="keelung/urban-renewal.html" TargetMode="External" Id="rId44"/><Relationship Type="http://schemas.openxmlformats.org/officeDocument/2006/relationships/hyperlink" Target="hsinchu-city/index.html" TargetMode="External" Id="rId45"/><Relationship Type="http://schemas.openxmlformats.org/officeDocument/2006/relationships/hyperlink" Target="hsinchu-city/public-urban-land-readjustment.html" TargetMode="External" Id="rId46"/><Relationship Type="http://schemas.openxmlformats.org/officeDocument/2006/relationships/hyperlink" Target="hsinchu-city/private-urban-land-readjustment.html" TargetMode="External" Id="rId47"/><Relationship Type="http://schemas.openxmlformats.org/officeDocument/2006/relationships/hyperlink" Target="hsinchu-city/zone-expropriation.html" TargetMode="External" Id="rId48"/><Relationship Type="http://schemas.openxmlformats.org/officeDocument/2006/relationships/hyperlink" Target="hsinchu-city/urban-renewal.html" TargetMode="External" Id="rId49"/><Relationship Type="http://schemas.openxmlformats.org/officeDocument/2006/relationships/hyperlink" Target="hsinchu-county/index.html" TargetMode="External" Id="rId50"/><Relationship Type="http://schemas.openxmlformats.org/officeDocument/2006/relationships/hyperlink" Target="hsinchu-county/public-urban-land-readjustment.html" TargetMode="External" Id="rId51"/><Relationship Type="http://schemas.openxmlformats.org/officeDocument/2006/relationships/hyperlink" Target="hsinchu-county/private-urban-land-readjustment.html" TargetMode="External" Id="rId52"/><Relationship Type="http://schemas.openxmlformats.org/officeDocument/2006/relationships/hyperlink" Target="hsinchu-county/zone-expropriation.html" TargetMode="External" Id="rId53"/><Relationship Type="http://schemas.openxmlformats.org/officeDocument/2006/relationships/hyperlink" Target="hsinchu-county/urban-renewal.html" TargetMode="External" Id="rId54"/><Relationship Type="http://schemas.openxmlformats.org/officeDocument/2006/relationships/hyperlink" Target="miaoli/index.html" TargetMode="External" Id="rId55"/><Relationship Type="http://schemas.openxmlformats.org/officeDocument/2006/relationships/hyperlink" Target="miaoli/public-urban-land-readjustment.html" TargetMode="External" Id="rId56"/><Relationship Type="http://schemas.openxmlformats.org/officeDocument/2006/relationships/hyperlink" Target="miaoli/private-urban-land-readjustment.html" TargetMode="External" Id="rId57"/><Relationship Type="http://schemas.openxmlformats.org/officeDocument/2006/relationships/hyperlink" Target="miaoli/zone-expropriation.html" TargetMode="External" Id="rId58"/><Relationship Type="http://schemas.openxmlformats.org/officeDocument/2006/relationships/hyperlink" Target="miaoli/urban-renewal.html" TargetMode="External" Id="rId59"/><Relationship Type="http://schemas.openxmlformats.org/officeDocument/2006/relationships/hyperlink" Target="yilan/index.html" TargetMode="External" Id="rId60"/><Relationship Type="http://schemas.openxmlformats.org/officeDocument/2006/relationships/hyperlink" Target="yilan/public-urban-land-readjustment.html" TargetMode="External" Id="rId61"/><Relationship Type="http://schemas.openxmlformats.org/officeDocument/2006/relationships/hyperlink" Target="yilan/private-urban-land-readjustment.html" TargetMode="External" Id="rId62"/><Relationship Type="http://schemas.openxmlformats.org/officeDocument/2006/relationships/hyperlink" Target="yilan/zone-expropriation.html" TargetMode="External" Id="rId63"/><Relationship Type="http://schemas.openxmlformats.org/officeDocument/2006/relationships/hyperlink" Target="yilan/urban-renewal.html" TargetMode="External" Id="rId64"/><Relationship Type="http://schemas.openxmlformats.org/officeDocument/2006/relationships/hyperlink" Target="changhua/index.html" TargetMode="External" Id="rId65"/><Relationship Type="http://schemas.openxmlformats.org/officeDocument/2006/relationships/hyperlink" Target="changhua/public-urban-land-readjustment.html" TargetMode="External" Id="rId66"/><Relationship Type="http://schemas.openxmlformats.org/officeDocument/2006/relationships/hyperlink" Target="changhua/private-urban-land-readjustment.html" TargetMode="External" Id="rId67"/><Relationship Type="http://schemas.openxmlformats.org/officeDocument/2006/relationships/hyperlink" Target="changhua/zone-expropriation.html" TargetMode="External" Id="rId68"/><Relationship Type="http://schemas.openxmlformats.org/officeDocument/2006/relationships/hyperlink" Target="changhua/urban-renewal.html" TargetMode="External" Id="rId69"/><Relationship Type="http://schemas.openxmlformats.org/officeDocument/2006/relationships/hyperlink" Target="nantou/index.html" TargetMode="External" Id="rId70"/><Relationship Type="http://schemas.openxmlformats.org/officeDocument/2006/relationships/hyperlink" Target="nantou/public-urban-land-readjustment.html" TargetMode="External" Id="rId71"/><Relationship Type="http://schemas.openxmlformats.org/officeDocument/2006/relationships/hyperlink" Target="nantou/private-urban-land-readjustment.html" TargetMode="External" Id="rId72"/><Relationship Type="http://schemas.openxmlformats.org/officeDocument/2006/relationships/hyperlink" Target="nantou/zone-expropriation.html" TargetMode="External" Id="rId73"/><Relationship Type="http://schemas.openxmlformats.org/officeDocument/2006/relationships/hyperlink" Target="nantou/urban-renewal.html" TargetMode="External" Id="rId74"/><Relationship Type="http://schemas.openxmlformats.org/officeDocument/2006/relationships/hyperlink" Target="yunlin/index.html" TargetMode="External" Id="rId75"/><Relationship Type="http://schemas.openxmlformats.org/officeDocument/2006/relationships/hyperlink" Target="yunlin/public-urban-land-readjustment.html" TargetMode="External" Id="rId76"/><Relationship Type="http://schemas.openxmlformats.org/officeDocument/2006/relationships/hyperlink" Target="yunlin/private-urban-land-readjustment.html" TargetMode="External" Id="rId77"/><Relationship Type="http://schemas.openxmlformats.org/officeDocument/2006/relationships/hyperlink" Target="yunlin/zone-expropriation.html" TargetMode="External" Id="rId78"/><Relationship Type="http://schemas.openxmlformats.org/officeDocument/2006/relationships/hyperlink" Target="yunlin/urban-renewal.html" TargetMode="External" Id="rId79"/><Relationship Type="http://schemas.openxmlformats.org/officeDocument/2006/relationships/hyperlink" Target="chiayi-city/index.html" TargetMode="External" Id="rId80"/><Relationship Type="http://schemas.openxmlformats.org/officeDocument/2006/relationships/hyperlink" Target="chiayi-city/public-urban-land-readjustment.html" TargetMode="External" Id="rId81"/><Relationship Type="http://schemas.openxmlformats.org/officeDocument/2006/relationships/hyperlink" Target="chiayi-city/private-urban-land-readjustment.html" TargetMode="External" Id="rId82"/><Relationship Type="http://schemas.openxmlformats.org/officeDocument/2006/relationships/hyperlink" Target="chiayi-city/zone-expropriation.html" TargetMode="External" Id="rId83"/><Relationship Type="http://schemas.openxmlformats.org/officeDocument/2006/relationships/hyperlink" Target="chiayi-city/urban-renewal.html" TargetMode="External" Id="rId84"/><Relationship Type="http://schemas.openxmlformats.org/officeDocument/2006/relationships/hyperlink" Target="chiayi-county/index.html" TargetMode="External" Id="rId85"/><Relationship Type="http://schemas.openxmlformats.org/officeDocument/2006/relationships/hyperlink" Target="chiayi-county/public-urban-land-readjustment.html" TargetMode="External" Id="rId86"/><Relationship Type="http://schemas.openxmlformats.org/officeDocument/2006/relationships/hyperlink" Target="chiayi-county/private-urban-land-readjustment.html" TargetMode="External" Id="rId87"/><Relationship Type="http://schemas.openxmlformats.org/officeDocument/2006/relationships/hyperlink" Target="chiayi-county/zone-expropriation.html" TargetMode="External" Id="rId88"/><Relationship Type="http://schemas.openxmlformats.org/officeDocument/2006/relationships/hyperlink" Target="chiayi-county/urban-renewal.html" TargetMode="External" Id="rId89"/><Relationship Type="http://schemas.openxmlformats.org/officeDocument/2006/relationships/hyperlink" Target="pingtung/index.html" TargetMode="External" Id="rId90"/><Relationship Type="http://schemas.openxmlformats.org/officeDocument/2006/relationships/hyperlink" Target="pingtung/public-urban-land-readjustment.html" TargetMode="External" Id="rId91"/><Relationship Type="http://schemas.openxmlformats.org/officeDocument/2006/relationships/hyperlink" Target="pingtung/private-urban-land-readjustment.html" TargetMode="External" Id="rId92"/><Relationship Type="http://schemas.openxmlformats.org/officeDocument/2006/relationships/hyperlink" Target="pingtung/zone-expropriation.html" TargetMode="External" Id="rId93"/><Relationship Type="http://schemas.openxmlformats.org/officeDocument/2006/relationships/hyperlink" Target="pingtung/urban-renewal.html" TargetMode="External" Id="rId94"/><Relationship Type="http://schemas.openxmlformats.org/officeDocument/2006/relationships/hyperlink" Target="hualien/index.html" TargetMode="External" Id="rId95"/><Relationship Type="http://schemas.openxmlformats.org/officeDocument/2006/relationships/hyperlink" Target="hualien/public-urban-land-readjustment.html" TargetMode="External" Id="rId96"/><Relationship Type="http://schemas.openxmlformats.org/officeDocument/2006/relationships/hyperlink" Target="hualien/private-urban-land-readjustment.html" TargetMode="External" Id="rId97"/><Relationship Type="http://schemas.openxmlformats.org/officeDocument/2006/relationships/hyperlink" Target="hualien/zone-expropriation.html" TargetMode="External" Id="rId98"/><Relationship Type="http://schemas.openxmlformats.org/officeDocument/2006/relationships/hyperlink" Target="hualien/urban-renewal.html" TargetMode="External" Id="rId99"/><Relationship Type="http://schemas.openxmlformats.org/officeDocument/2006/relationships/hyperlink" Target="taitung/index.html" TargetMode="External" Id="rId100"/><Relationship Type="http://schemas.openxmlformats.org/officeDocument/2006/relationships/hyperlink" Target="taitung/public-urban-land-readjustment.html" TargetMode="External" Id="rId101"/><Relationship Type="http://schemas.openxmlformats.org/officeDocument/2006/relationships/hyperlink" Target="taitung/private-urban-land-readjustment.html" TargetMode="External" Id="rId102"/><Relationship Type="http://schemas.openxmlformats.org/officeDocument/2006/relationships/hyperlink" Target="taitung/zone-expropriation.html" TargetMode="External" Id="rId103"/><Relationship Type="http://schemas.openxmlformats.org/officeDocument/2006/relationships/hyperlink" Target="taitung/urban-renewal.html" TargetMode="External" Id="rId104"/><Relationship Type="http://schemas.openxmlformats.org/officeDocument/2006/relationships/hyperlink" Target="penghu/index.html" TargetMode="External" Id="rId105"/><Relationship Type="http://schemas.openxmlformats.org/officeDocument/2006/relationships/hyperlink" Target="penghu/public-urban-land-readjustment.html" TargetMode="External" Id="rId106"/><Relationship Type="http://schemas.openxmlformats.org/officeDocument/2006/relationships/hyperlink" Target="penghu/private-urban-land-readjustment.html" TargetMode="External" Id="rId107"/><Relationship Type="http://schemas.openxmlformats.org/officeDocument/2006/relationships/hyperlink" Target="penghu/zone-expropriation.html" TargetMode="External" Id="rId108"/><Relationship Type="http://schemas.openxmlformats.org/officeDocument/2006/relationships/hyperlink" Target="penghu/urban-renewal.html" TargetMode="External" Id="rId109"/><Relationship Type="http://schemas.openxmlformats.org/officeDocument/2006/relationships/hyperlink" Target="kinmen/index.html" TargetMode="External" Id="rId110"/><Relationship Type="http://schemas.openxmlformats.org/officeDocument/2006/relationships/hyperlink" Target="kinmen/public-urban-land-readjustment.html" TargetMode="External" Id="rId111"/><Relationship Type="http://schemas.openxmlformats.org/officeDocument/2006/relationships/hyperlink" Target="kinmen/private-urban-land-readjustment.html" TargetMode="External" Id="rId112"/><Relationship Type="http://schemas.openxmlformats.org/officeDocument/2006/relationships/hyperlink" Target="kinmen/zone-expropriation.html" TargetMode="External" Id="rId113"/><Relationship Type="http://schemas.openxmlformats.org/officeDocument/2006/relationships/hyperlink" Target="kinmen/urban-renewal.html" TargetMode="External" Id="rId114"/><Relationship Type="http://schemas.openxmlformats.org/officeDocument/2006/relationships/hyperlink" Target="lienchiang/index.html" TargetMode="External" Id="rId115"/><Relationship Type="http://schemas.openxmlformats.org/officeDocument/2006/relationships/hyperlink" Target="lienchiang/public-urban-land-readjustment.html" TargetMode="External" Id="rId116"/><Relationship Type="http://schemas.openxmlformats.org/officeDocument/2006/relationships/hyperlink" Target="lienchiang/private-urban-land-readjustment.html" TargetMode="External" Id="rId117"/><Relationship Type="http://schemas.openxmlformats.org/officeDocument/2006/relationships/hyperlink" Target="lienchiang/zone-expropriation.html" TargetMode="External" Id="rId118"/><Relationship Type="http://schemas.openxmlformats.org/officeDocument/2006/relationships/hyperlink" Target="lienchiang/urban-renewal.html" TargetMode="External" Id="rId119"/><Relationship Type="http://schemas.openxmlformats.org/officeDocument/2006/relationships/hyperlink" Target="taipei/&#30334;&#31185;-&#33274;&#21271;&#24066;&#37325;&#21123;&#21312;&#33287;&#24314;&#26696;.html" TargetMode="External" Id="rId120"/><Relationship Type="http://schemas.openxmlformats.org/officeDocument/2006/relationships/hyperlink" Target="new-taipei/&#26032;&#21271;&#24066;&#37325;&#21123;&#21312;&#33287;&#24314;&#26696;.html" TargetMode="External" Id="rId121"/><Relationship Type="http://schemas.openxmlformats.org/officeDocument/2006/relationships/hyperlink" Target="taoyuan/encyclopedia.html" TargetMode="External" Id="rId122"/><Relationship Type="http://schemas.openxmlformats.org/officeDocument/2006/relationships/hyperlink" Target="taichung/&#30334;&#31185;-&#33274;&#20013;&#24066;&#37325;&#21123;&#21312;&#33287;&#24314;&#26696;.html" TargetMode="External" Id="rId123"/><Relationship Type="http://schemas.openxmlformats.org/officeDocument/2006/relationships/hyperlink" Target="tainan/&#30334;&#31185;-&#33274;&#21335;&#24066;&#37325;&#21123;&#21312;&#33287;&#24314;&#26696;.html" TargetMode="External" Id="rId124"/><Relationship Type="http://schemas.openxmlformats.org/officeDocument/2006/relationships/hyperlink" Target="kaohsiung/&#30334;&#31185;-&#39640;&#38596;&#24066;&#37325;&#21123;&#21312;&#33287;&#24314;&#26696;.html" TargetMode="External" Id="rId125"/><Relationship Type="http://schemas.openxmlformats.org/officeDocument/2006/relationships/hyperlink" Target="keelung/&#30334;&#31185;-&#22522;&#38534;&#24066;&#37325;&#21123;&#21312;&#33287;&#24314;&#26696;.html" TargetMode="External" Id="rId126"/><Relationship Type="http://schemas.openxmlformats.org/officeDocument/2006/relationships/hyperlink" Target="hsinchu-city/&#30334;&#31185;-&#26032;&#31481;&#24066;&#37325;&#21123;&#21312;&#33287;&#24314;&#26696;.html" TargetMode="External" Id="rId127"/><Relationship Type="http://schemas.openxmlformats.org/officeDocument/2006/relationships/hyperlink" Target="hsinchu-county/&#30334;&#31185;-&#26032;&#31481;&#32291;&#37325;&#21123;&#21312;&#33287;&#24314;&#26696;.html" TargetMode="External" Id="rId128"/><Relationship Type="http://schemas.openxmlformats.org/officeDocument/2006/relationships/hyperlink" Target="miaoli/&#30334;&#31185;-&#33495;&#26647;&#32291;&#37325;&#21123;&#21312;&#33287;&#24314;&#26696;.html" TargetMode="External" Id="rId129"/><Relationship Type="http://schemas.openxmlformats.org/officeDocument/2006/relationships/hyperlink" Target="yilan/&#30334;&#31185;-&#23452;&#34349;&#32291;&#37325;&#21123;&#21312;&#33287;&#24314;&#26696;.html" TargetMode="External" Id="rId130"/><Relationship Type="http://schemas.openxmlformats.org/officeDocument/2006/relationships/hyperlink" Target="changhua/&#30334;&#31185;-&#24432;&#21270;&#32291;&#37325;&#21123;&#21312;&#33287;&#24314;&#26696;.html" TargetMode="External" Id="rId131"/><Relationship Type="http://schemas.openxmlformats.org/officeDocument/2006/relationships/hyperlink" Target="nantou/&#30334;&#31185;-&#21335;&#25237;&#32291;&#37325;&#21123;&#21312;&#33287;&#24314;&#26696;.html" TargetMode="External" Id="rId132"/><Relationship Type="http://schemas.openxmlformats.org/officeDocument/2006/relationships/hyperlink" Target="yunlin/&#30334;&#31185;-&#38642;&#26519;&#32291;&#37325;&#21123;&#21312;&#33287;&#24314;&#26696;.html" TargetMode="External" Id="rId133"/><Relationship Type="http://schemas.openxmlformats.org/officeDocument/2006/relationships/hyperlink" Target="chiayi-city/&#30334;&#31185;-&#22025;&#32681;&#24066;&#37325;&#21123;&#21312;&#33287;&#24314;&#26696;.html" TargetMode="External" Id="rId134"/><Relationship Type="http://schemas.openxmlformats.org/officeDocument/2006/relationships/hyperlink" Target="chiayi-county/&#30334;&#31185;-&#22025;&#32681;&#32291;&#37325;&#21123;&#21312;&#33287;&#24314;&#26696;.html" TargetMode="External" Id="rId135"/><Relationship Type="http://schemas.openxmlformats.org/officeDocument/2006/relationships/hyperlink" Target="pingtung/&#30334;&#31185;-&#23631;&#26481;&#32291;&#37325;&#21123;&#21312;&#33287;&#24314;&#26696;.html" TargetMode="External" Id="rId136"/><Relationship Type="http://schemas.openxmlformats.org/officeDocument/2006/relationships/hyperlink" Target="hualien/&#30334;&#31185;-&#33457;&#34030;&#32291;&#37325;&#21123;&#21312;&#33287;&#24314;&#26696;.html" TargetMode="External" Id="rId137"/><Relationship Type="http://schemas.openxmlformats.org/officeDocument/2006/relationships/hyperlink" Target="taitung/&#30334;&#31185;-&#33274;&#26481;&#32291;&#37325;&#21123;&#21312;&#33287;&#24314;&#26696;.html" TargetMode="External" Id="rId138"/><Relationship Type="http://schemas.openxmlformats.org/officeDocument/2006/relationships/hyperlink" Target="penghu/&#30334;&#31185;-&#28558;&#28246;&#32291;&#37325;&#21123;&#21312;&#33287;&#24314;&#26696;.html" TargetMode="External" Id="rId139"/><Relationship Type="http://schemas.openxmlformats.org/officeDocument/2006/relationships/hyperlink" Target="kinmen/&#30334;&#31185;-&#37329;&#38272;&#32291;&#37325;&#21123;&#21312;&#33287;&#24314;&#26696;.html" TargetMode="External" Id="rId140"/><Relationship Type="http://schemas.openxmlformats.org/officeDocument/2006/relationships/hyperlink" Target="lienchiang/&#30334;&#31185;-&#36899;&#27743;&#32291;&#37325;&#21123;&#21312;&#33287;&#24314;&#26696;.html" TargetMode="External" Id="rId141"/><Relationship Type="http://schemas.openxmlformats.org/officeDocument/2006/relationships/hyperlink" Target="&#21488;&#28771;22&#32291;&#24066;&#37325;&#21123;&#21312;_&#20840;&#31449;&#36039;&#26009;&#24235;.xlsx" TargetMode="External" Id="rId142"/><Relationship Type="http://schemas.openxmlformats.org/officeDocument/2006/relationships/hyperlink" Target="&#21488;&#28771;22&#32291;&#24066;&#37325;&#21123;&#21312;_&#20840;&#31449;&#36039;&#26009;&#24235;_&#25913;&#21069;&#24555;&#29031;_20261017.xlsx" TargetMode="External" Id="rId143"/><Relationship Type="http://schemas.openxmlformats.org/officeDocument/2006/relationships/hyperlink" Target="&#21488;&#28771;22&#32291;&#24066;&#37325;&#21123;&#21312;_&#20840;&#31449;&#36039;&#26009;&#24235;_&#25972;&#21512;&#29256;.xlsx" TargetMode="External" Id="rId144"/><Relationship Type="http://schemas.openxmlformats.org/officeDocument/2006/relationships/hyperlink" Target="taipei/&#21335;&#28207;&#20844;&#36774;&#37325;&#21123;.html" TargetMode="External" Id="rId145"/><Relationship Type="http://schemas.openxmlformats.org/officeDocument/2006/relationships/hyperlink" Target="taipei/&#20839;&#28246;&#23567;&#22411;&#20844;&#36774;&#37325;&#21123;.html" TargetMode="External" Id="rId1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  <col width="54" customWidth="1" min="3" max="3"/>
    <col width="15" customWidth="1" min="4" max="4"/>
    <col width="54" customWidth="1" min="5" max="5"/>
  </cols>
  <sheetData>
    <row r="1">
      <c r="A1" s="1" t="inlineStr">
        <is>
          <t>分類</t>
        </is>
      </c>
      <c r="B1" s="1" t="inlineStr">
        <is>
          <t>名稱</t>
        </is>
      </c>
      <c r="C1" s="1" t="inlineStr">
        <is>
          <t>路徑/位置</t>
        </is>
      </c>
      <c r="D1" s="1" t="inlineStr">
        <is>
          <t>狀態/說明</t>
        </is>
      </c>
      <c r="E1" s="1" t="inlineStr">
        <is>
          <t>連結</t>
        </is>
      </c>
    </row>
    <row r="2">
      <c r="A2" s="2" t="inlineStr">
        <is>
          <t>① Excel 總庫 4 檔</t>
        </is>
      </c>
      <c r="B2" s="3" t="inlineStr"/>
      <c r="C2" s="3" t="inlineStr"/>
      <c r="D2" s="3" t="inlineStr"/>
      <c r="E2" s="3" t="inlineStr"/>
    </row>
    <row r="3">
      <c r="A3" s="4" t="inlineStr">
        <is>
          <t>重建版</t>
        </is>
      </c>
      <c r="B3" s="4" t="inlineStr">
        <is>
          <t>台灣22縣市重劃區_全站資料庫_重建分類版.xlsx</t>
        </is>
      </c>
      <c r="C3" s="4" t="inlineStr">
        <is>
          <t>(本檔)</t>
        </is>
      </c>
      <c r="D3" s="4" t="inlineStr">
        <is>
          <t>8 sheets</t>
        </is>
      </c>
      <c r="E3" s="4" t="inlineStr"/>
    </row>
    <row r="4">
      <c r="A4" s="4" t="inlineStr">
        <is>
          <t xml:space="preserve">　└ sheet</t>
        </is>
      </c>
      <c r="B4" s="4" t="inlineStr">
        <is>
          <t>連結TOC</t>
        </is>
      </c>
      <c r="C4" s="4" t="inlineStr">
        <is>
          <t>#連結TOC!A1</t>
        </is>
      </c>
      <c r="D4" s="4" t="inlineStr">
        <is>
          <t>本檔內部連結</t>
        </is>
      </c>
      <c r="E4" s="4" t="inlineStr">
        <is>
          <t>#連結TOC!A1</t>
        </is>
      </c>
    </row>
    <row r="5">
      <c r="A5" s="4" t="inlineStr">
        <is>
          <t xml:space="preserve">　└ sheet</t>
        </is>
      </c>
      <c r="B5" s="4" t="inlineStr">
        <is>
          <t>主庫_重劃區146區</t>
        </is>
      </c>
      <c r="C5" s="4" t="inlineStr">
        <is>
          <t>#主庫_重劃區146區!A1</t>
        </is>
      </c>
      <c r="D5" s="4" t="inlineStr">
        <is>
          <t>本檔內部連結</t>
        </is>
      </c>
      <c r="E5" s="4" t="inlineStr">
        <is>
          <t>#主庫_重劃區146區!A1</t>
        </is>
      </c>
    </row>
    <row r="6">
      <c r="A6" s="4" t="inlineStr">
        <is>
          <t xml:space="preserve">　└ sheet</t>
        </is>
      </c>
      <c r="B6" s="4" t="inlineStr">
        <is>
          <t>建案總表_642案</t>
        </is>
      </c>
      <c r="C6" s="4" t="inlineStr">
        <is>
          <t>#建案總表_642案!A1</t>
        </is>
      </c>
      <c r="D6" s="4" t="inlineStr">
        <is>
          <t>本檔內部連結</t>
        </is>
      </c>
      <c r="E6" s="4" t="inlineStr">
        <is>
          <t>#建案總表_642案!A1</t>
        </is>
      </c>
    </row>
    <row r="7">
      <c r="A7" s="4" t="inlineStr">
        <is>
          <t xml:space="preserve">　└ sheet</t>
        </is>
      </c>
      <c r="B7" s="4" t="inlineStr">
        <is>
          <t>重劃區清單_含內頁連結</t>
        </is>
      </c>
      <c r="C7" s="4" t="inlineStr">
        <is>
          <t>#重劃區清單_含內頁連結!A1</t>
        </is>
      </c>
      <c r="D7" s="4" t="inlineStr">
        <is>
          <t>本檔內部連結</t>
        </is>
      </c>
      <c r="E7" s="4" t="inlineStr">
        <is>
          <t>#重劃區清單_含內頁連結!A1</t>
        </is>
      </c>
    </row>
    <row r="8">
      <c r="A8" s="4" t="inlineStr">
        <is>
          <t xml:space="preserve">　└ sheet</t>
        </is>
      </c>
      <c r="B8" s="4" t="inlineStr">
        <is>
          <t>縣市索引_22縣市</t>
        </is>
      </c>
      <c r="C8" s="4" t="inlineStr">
        <is>
          <t>#縣市索引_22縣市!A1</t>
        </is>
      </c>
      <c r="D8" s="4" t="inlineStr">
        <is>
          <t>本檔內部連結</t>
        </is>
      </c>
      <c r="E8" s="4" t="inlineStr">
        <is>
          <t>#縣市索引_22縣市!A1</t>
        </is>
      </c>
    </row>
    <row r="9">
      <c r="A9" s="4" t="inlineStr">
        <is>
          <t xml:space="preserve">　└ sheet</t>
        </is>
      </c>
      <c r="B9" s="4" t="inlineStr">
        <is>
          <t>檔案清單_網站目錄樹</t>
        </is>
      </c>
      <c r="C9" s="4" t="inlineStr">
        <is>
          <t>#檔案清單_網站目錄樹!A1</t>
        </is>
      </c>
      <c r="D9" s="4" t="inlineStr">
        <is>
          <t>本檔內部連結</t>
        </is>
      </c>
      <c r="E9" s="4" t="inlineStr">
        <is>
          <t>#檔案清單_網站目錄樹!A1</t>
        </is>
      </c>
    </row>
    <row r="10">
      <c r="A10" s="4" t="inlineStr">
        <is>
          <t xml:space="preserve">　└ sheet</t>
        </is>
      </c>
      <c r="B10" s="4" t="inlineStr">
        <is>
          <t>改前快照對照</t>
        </is>
      </c>
      <c r="C10" s="4" t="inlineStr">
        <is>
          <t>#改前快照對照!A1</t>
        </is>
      </c>
      <c r="D10" s="4" t="inlineStr">
        <is>
          <t>本檔內部連結</t>
        </is>
      </c>
      <c r="E10" s="4" t="inlineStr">
        <is>
          <t>#改前快照對照!A1</t>
        </is>
      </c>
    </row>
    <row r="11">
      <c r="A11" s="4" t="inlineStr">
        <is>
          <t xml:space="preserve">　└ sheet</t>
        </is>
      </c>
      <c r="B11" s="4" t="inlineStr">
        <is>
          <t>研究說明</t>
        </is>
      </c>
      <c r="C11" s="4" t="inlineStr">
        <is>
          <t>#研究說明!A1</t>
        </is>
      </c>
      <c r="D11" s="4" t="inlineStr">
        <is>
          <t>本檔內部連結</t>
        </is>
      </c>
      <c r="E11" s="4" t="inlineStr">
        <is>
          <t>#研究說明!A1</t>
        </is>
      </c>
    </row>
    <row r="12">
      <c r="A12" s="4" t="inlineStr">
        <is>
          <t>既有檔案</t>
        </is>
      </c>
      <c r="B12" s="4" t="inlineStr">
        <is>
          <t>台灣22縣市重劃區_全站資料庫.xlsx</t>
        </is>
      </c>
      <c r="C12" s="4" t="inlineStr">
        <is>
          <t>台灣22縣市重劃區_全站資料庫.xlsx</t>
        </is>
      </c>
      <c r="D12" s="4" t="inlineStr">
        <is>
          <t>15 sheets</t>
        </is>
      </c>
      <c r="E12" s="4" t="inlineStr">
        <is>
          <t>台灣22縣市重劃區_全站資料庫.xlsx</t>
        </is>
      </c>
    </row>
    <row r="13">
      <c r="A13" s="4" t="inlineStr">
        <is>
          <t xml:space="preserve">　└ sheet</t>
        </is>
      </c>
      <c r="B13" s="4" t="inlineStr">
        <is>
          <t>TOC</t>
        </is>
      </c>
      <c r="C13" s="4" t="inlineStr">
        <is>
          <t>(既有檔案內)</t>
        </is>
      </c>
      <c r="D13" s="4" t="inlineStr"/>
      <c r="E13" s="4" t="inlineStr"/>
    </row>
    <row r="14">
      <c r="A14" s="4" t="inlineStr">
        <is>
          <t xml:space="preserve">　└ sheet</t>
        </is>
      </c>
      <c r="B14" s="4" t="inlineStr">
        <is>
          <t>規格書</t>
        </is>
      </c>
      <c r="C14" s="4" t="inlineStr">
        <is>
          <t>(既有檔案內)</t>
        </is>
      </c>
      <c r="D14" s="4" t="inlineStr"/>
      <c r="E14" s="4" t="inlineStr"/>
    </row>
    <row r="15">
      <c r="A15" s="4" t="inlineStr">
        <is>
          <t xml:space="preserve">　└ sheet</t>
        </is>
      </c>
      <c r="B15" s="4" t="inlineStr">
        <is>
          <t>指令與產出清單</t>
        </is>
      </c>
      <c r="C15" s="4" t="inlineStr">
        <is>
          <t>(既有檔案內)</t>
        </is>
      </c>
      <c r="D15" s="4" t="inlineStr"/>
      <c r="E15" s="4" t="inlineStr"/>
    </row>
    <row r="16">
      <c r="A16" s="4" t="inlineStr">
        <is>
          <t xml:space="preserve">　└ sheet</t>
        </is>
      </c>
      <c r="B16" s="4" t="inlineStr">
        <is>
          <t>網站參數</t>
        </is>
      </c>
      <c r="C16" s="4" t="inlineStr">
        <is>
          <t>(既有檔案內)</t>
        </is>
      </c>
      <c r="D16" s="4" t="inlineStr"/>
      <c r="E16" s="4" t="inlineStr"/>
    </row>
    <row r="17">
      <c r="A17" s="4" t="inlineStr">
        <is>
          <t xml:space="preserve">　└ sheet</t>
        </is>
      </c>
      <c r="B17" s="4" t="inlineStr">
        <is>
          <t>檔案清單</t>
        </is>
      </c>
      <c r="C17" s="4" t="inlineStr">
        <is>
          <t>(既有檔案內)</t>
        </is>
      </c>
      <c r="D17" s="4" t="inlineStr"/>
      <c r="E17" s="4" t="inlineStr"/>
    </row>
    <row r="18">
      <c r="A18" s="4" t="inlineStr">
        <is>
          <t xml:space="preserve">　└ sheet</t>
        </is>
      </c>
      <c r="B18" s="4" t="inlineStr">
        <is>
          <t>參數表</t>
        </is>
      </c>
      <c r="C18" s="4" t="inlineStr">
        <is>
          <t>(既有檔案內)</t>
        </is>
      </c>
      <c r="D18" s="4" t="inlineStr"/>
      <c r="E18" s="4" t="inlineStr"/>
    </row>
    <row r="19">
      <c r="A19" s="4" t="inlineStr">
        <is>
          <t xml:space="preserve">　└ sheet</t>
        </is>
      </c>
      <c r="B19" s="4" t="inlineStr">
        <is>
          <t>UI元件與參數表</t>
        </is>
      </c>
      <c r="C19" s="4" t="inlineStr">
        <is>
          <t>(既有檔案內)</t>
        </is>
      </c>
      <c r="D19" s="4" t="inlineStr"/>
      <c r="E19" s="4" t="inlineStr"/>
    </row>
    <row r="20">
      <c r="A20" s="4" t="inlineStr">
        <is>
          <t xml:space="preserve">　└ sheet</t>
        </is>
      </c>
      <c r="B20" s="4" t="inlineStr">
        <is>
          <t>全站重劃區清單</t>
        </is>
      </c>
      <c r="C20" s="4" t="inlineStr">
        <is>
          <t>(既有檔案內)</t>
        </is>
      </c>
      <c r="D20" s="4" t="inlineStr"/>
      <c r="E20" s="4" t="inlineStr"/>
    </row>
    <row r="21">
      <c r="A21" s="4" t="inlineStr">
        <is>
          <t xml:space="preserve">　└ sheet</t>
        </is>
      </c>
      <c r="B21" s="4" t="inlineStr">
        <is>
          <t>縣市索引</t>
        </is>
      </c>
      <c r="C21" s="4" t="inlineStr">
        <is>
          <t>(既有檔案內)</t>
        </is>
      </c>
      <c r="D21" s="4" t="inlineStr"/>
      <c r="E21" s="4" t="inlineStr"/>
    </row>
    <row r="22">
      <c r="A22" s="4" t="inlineStr">
        <is>
          <t xml:space="preserve">　└ sheet</t>
        </is>
      </c>
      <c r="B22" s="4" t="inlineStr">
        <is>
          <t>缺圖清單</t>
        </is>
      </c>
      <c r="C22" s="4" t="inlineStr">
        <is>
          <t>(既有檔案內)</t>
        </is>
      </c>
      <c r="D22" s="4" t="inlineStr"/>
      <c r="E22" s="4" t="inlineStr"/>
    </row>
    <row r="23">
      <c r="A23" s="4" t="inlineStr">
        <is>
          <t xml:space="preserve">　└ sheet</t>
        </is>
      </c>
      <c r="B23" s="4" t="inlineStr">
        <is>
          <t>更新SOP</t>
        </is>
      </c>
      <c r="C23" s="4" t="inlineStr">
        <is>
          <t>(既有檔案內)</t>
        </is>
      </c>
      <c r="D23" s="4" t="inlineStr"/>
      <c r="E23" s="4" t="inlineStr"/>
    </row>
    <row r="24">
      <c r="A24" s="4" t="inlineStr">
        <is>
          <t xml:space="preserve">　└ sheet</t>
        </is>
      </c>
      <c r="B24" s="4" t="inlineStr">
        <is>
          <t>todolist</t>
        </is>
      </c>
      <c r="C24" s="4" t="inlineStr">
        <is>
          <t>(既有檔案內)</t>
        </is>
      </c>
      <c r="D24" s="4" t="inlineStr"/>
      <c r="E24" s="4" t="inlineStr"/>
    </row>
    <row r="25">
      <c r="A25" s="4" t="inlineStr">
        <is>
          <t xml:space="preserve">　└ sheet</t>
        </is>
      </c>
      <c r="B25" s="4" t="inlineStr">
        <is>
          <t>建案總表</t>
        </is>
      </c>
      <c r="C25" s="4" t="inlineStr">
        <is>
          <t>(既有檔案內)</t>
        </is>
      </c>
      <c r="D25" s="4" t="inlineStr"/>
      <c r="E25" s="4" t="inlineStr"/>
    </row>
    <row r="26">
      <c r="A26" s="4" t="inlineStr">
        <is>
          <t xml:space="preserve">　└ sheet</t>
        </is>
      </c>
      <c r="B26" s="4" t="inlineStr">
        <is>
          <t>重劃區建案明細</t>
        </is>
      </c>
      <c r="C26" s="4" t="inlineStr">
        <is>
          <t>(既有檔案內)</t>
        </is>
      </c>
      <c r="D26" s="4" t="inlineStr"/>
      <c r="E26" s="4" t="inlineStr"/>
    </row>
    <row r="27">
      <c r="A27" s="4" t="inlineStr">
        <is>
          <t xml:space="preserve">　└ sheet</t>
        </is>
      </c>
      <c r="B27" s="4" t="inlineStr">
        <is>
          <t>研究說明與覆蓋率</t>
        </is>
      </c>
      <c r="C27" s="4" t="inlineStr">
        <is>
          <t>(既有檔案內)</t>
        </is>
      </c>
      <c r="D27" s="4" t="inlineStr"/>
      <c r="E27" s="4" t="inlineStr"/>
    </row>
    <row r="28">
      <c r="A28" s="4" t="inlineStr">
        <is>
          <t>既有檔案</t>
        </is>
      </c>
      <c r="B28" s="4" t="inlineStr">
        <is>
          <t>台灣22縣市重劃區_全站資料庫_改前快照_20261017.xlsx</t>
        </is>
      </c>
      <c r="C28" s="4" t="inlineStr">
        <is>
          <t>台灣22縣市重劃區_全站資料庫_改前快照_20261017.xlsx</t>
        </is>
      </c>
      <c r="D28" s="4" t="inlineStr">
        <is>
          <t>12 sheets</t>
        </is>
      </c>
      <c r="E28" s="4" t="inlineStr">
        <is>
          <t>台灣22縣市重劃區_全站資料庫_改前快照_20261017.xlsx</t>
        </is>
      </c>
    </row>
    <row r="29">
      <c r="A29" s="4" t="inlineStr">
        <is>
          <t xml:space="preserve">　└ sheet</t>
        </is>
      </c>
      <c r="B29" s="4" t="inlineStr">
        <is>
          <t>TOC</t>
        </is>
      </c>
      <c r="C29" s="4" t="inlineStr">
        <is>
          <t>(既有檔案內)</t>
        </is>
      </c>
      <c r="D29" s="4" t="inlineStr"/>
      <c r="E29" s="4" t="inlineStr"/>
    </row>
    <row r="30">
      <c r="A30" s="4" t="inlineStr">
        <is>
          <t xml:space="preserve">　└ sheet</t>
        </is>
      </c>
      <c r="B30" s="4" t="inlineStr">
        <is>
          <t>規格書</t>
        </is>
      </c>
      <c r="C30" s="4" t="inlineStr">
        <is>
          <t>(既有檔案內)</t>
        </is>
      </c>
      <c r="D30" s="4" t="inlineStr"/>
      <c r="E30" s="4" t="inlineStr"/>
    </row>
    <row r="31">
      <c r="A31" s="4" t="inlineStr">
        <is>
          <t xml:space="preserve">　└ sheet</t>
        </is>
      </c>
      <c r="B31" s="4" t="inlineStr">
        <is>
          <t>指令與產出清單</t>
        </is>
      </c>
      <c r="C31" s="4" t="inlineStr">
        <is>
          <t>(既有檔案內)</t>
        </is>
      </c>
      <c r="D31" s="4" t="inlineStr"/>
      <c r="E31" s="4" t="inlineStr"/>
    </row>
    <row r="32">
      <c r="A32" s="4" t="inlineStr">
        <is>
          <t xml:space="preserve">　└ sheet</t>
        </is>
      </c>
      <c r="B32" s="4" t="inlineStr">
        <is>
          <t>網站參數</t>
        </is>
      </c>
      <c r="C32" s="4" t="inlineStr">
        <is>
          <t>(既有檔案內)</t>
        </is>
      </c>
      <c r="D32" s="4" t="inlineStr"/>
      <c r="E32" s="4" t="inlineStr"/>
    </row>
    <row r="33">
      <c r="A33" s="4" t="inlineStr">
        <is>
          <t xml:space="preserve">　└ sheet</t>
        </is>
      </c>
      <c r="B33" s="4" t="inlineStr">
        <is>
          <t>檔案清單</t>
        </is>
      </c>
      <c r="C33" s="4" t="inlineStr">
        <is>
          <t>(既有檔案內)</t>
        </is>
      </c>
      <c r="D33" s="4" t="inlineStr"/>
      <c r="E33" s="4" t="inlineStr"/>
    </row>
    <row r="34">
      <c r="A34" s="4" t="inlineStr">
        <is>
          <t xml:space="preserve">　└ sheet</t>
        </is>
      </c>
      <c r="B34" s="4" t="inlineStr">
        <is>
          <t>參數表</t>
        </is>
      </c>
      <c r="C34" s="4" t="inlineStr">
        <is>
          <t>(既有檔案內)</t>
        </is>
      </c>
      <c r="D34" s="4" t="inlineStr"/>
      <c r="E34" s="4" t="inlineStr"/>
    </row>
    <row r="35">
      <c r="A35" s="4" t="inlineStr">
        <is>
          <t xml:space="preserve">　└ sheet</t>
        </is>
      </c>
      <c r="B35" s="4" t="inlineStr">
        <is>
          <t>UI元件與參數表</t>
        </is>
      </c>
      <c r="C35" s="4" t="inlineStr">
        <is>
          <t>(既有檔案內)</t>
        </is>
      </c>
      <c r="D35" s="4" t="inlineStr"/>
      <c r="E35" s="4" t="inlineStr"/>
    </row>
    <row r="36">
      <c r="A36" s="4" t="inlineStr">
        <is>
          <t xml:space="preserve">　└ sheet</t>
        </is>
      </c>
      <c r="B36" s="4" t="inlineStr">
        <is>
          <t>全站重劃區清單</t>
        </is>
      </c>
      <c r="C36" s="4" t="inlineStr">
        <is>
          <t>(既有檔案內)</t>
        </is>
      </c>
      <c r="D36" s="4" t="inlineStr"/>
      <c r="E36" s="4" t="inlineStr"/>
    </row>
    <row r="37">
      <c r="A37" s="4" t="inlineStr">
        <is>
          <t xml:space="preserve">　└ sheet</t>
        </is>
      </c>
      <c r="B37" s="4" t="inlineStr">
        <is>
          <t>縣市索引</t>
        </is>
      </c>
      <c r="C37" s="4" t="inlineStr">
        <is>
          <t>(既有檔案內)</t>
        </is>
      </c>
      <c r="D37" s="4" t="inlineStr"/>
      <c r="E37" s="4" t="inlineStr"/>
    </row>
    <row r="38">
      <c r="A38" s="4" t="inlineStr">
        <is>
          <t xml:space="preserve">　└ sheet</t>
        </is>
      </c>
      <c r="B38" s="4" t="inlineStr">
        <is>
          <t>缺圖清單</t>
        </is>
      </c>
      <c r="C38" s="4" t="inlineStr">
        <is>
          <t>(既有檔案內)</t>
        </is>
      </c>
      <c r="D38" s="4" t="inlineStr"/>
      <c r="E38" s="4" t="inlineStr"/>
    </row>
    <row r="39">
      <c r="A39" s="4" t="inlineStr">
        <is>
          <t xml:space="preserve">　└ sheet</t>
        </is>
      </c>
      <c r="B39" s="4" t="inlineStr">
        <is>
          <t>更新SOP</t>
        </is>
      </c>
      <c r="C39" s="4" t="inlineStr">
        <is>
          <t>(既有檔案內)</t>
        </is>
      </c>
      <c r="D39" s="4" t="inlineStr"/>
      <c r="E39" s="4" t="inlineStr"/>
    </row>
    <row r="40">
      <c r="A40" s="4" t="inlineStr">
        <is>
          <t xml:space="preserve">　└ sheet</t>
        </is>
      </c>
      <c r="B40" s="4" t="inlineStr">
        <is>
          <t>todolist</t>
        </is>
      </c>
      <c r="C40" s="4" t="inlineStr">
        <is>
          <t>(既有檔案內)</t>
        </is>
      </c>
      <c r="D40" s="4" t="inlineStr"/>
      <c r="E40" s="4" t="inlineStr"/>
    </row>
    <row r="41">
      <c r="A41" s="4" t="inlineStr">
        <is>
          <t>既有檔案</t>
        </is>
      </c>
      <c r="B41" s="4" t="inlineStr">
        <is>
          <t>台灣22縣市重劃區_全站資料庫_整合版.xlsx</t>
        </is>
      </c>
      <c r="C41" s="4" t="inlineStr">
        <is>
          <t>台灣22縣市重劃區_全站資料庫_整合版.xlsx</t>
        </is>
      </c>
      <c r="D41" s="4" t="inlineStr">
        <is>
          <t>18 sheets</t>
        </is>
      </c>
      <c r="E41" s="4" t="inlineStr">
        <is>
          <t>台灣22縣市重劃區_全站資料庫_整合版.xlsx</t>
        </is>
      </c>
    </row>
    <row r="42">
      <c r="A42" s="4" t="inlineStr">
        <is>
          <t xml:space="preserve">　└ sheet</t>
        </is>
      </c>
      <c r="B42" s="4" t="inlineStr">
        <is>
          <t>TOC</t>
        </is>
      </c>
      <c r="C42" s="4" t="inlineStr">
        <is>
          <t>(既有檔案內)</t>
        </is>
      </c>
      <c r="D42" s="4" t="inlineStr"/>
      <c r="E42" s="4" t="inlineStr"/>
    </row>
    <row r="43">
      <c r="A43" s="4" t="inlineStr">
        <is>
          <t xml:space="preserve">　└ sheet</t>
        </is>
      </c>
      <c r="B43" s="4" t="inlineStr">
        <is>
          <t>規格書</t>
        </is>
      </c>
      <c r="C43" s="4" t="inlineStr">
        <is>
          <t>(既有檔案內)</t>
        </is>
      </c>
      <c r="D43" s="4" t="inlineStr"/>
      <c r="E43" s="4" t="inlineStr"/>
    </row>
    <row r="44">
      <c r="A44" s="4" t="inlineStr">
        <is>
          <t xml:space="preserve">　└ sheet</t>
        </is>
      </c>
      <c r="B44" s="4" t="inlineStr">
        <is>
          <t>指令與產出清單</t>
        </is>
      </c>
      <c r="C44" s="4" t="inlineStr">
        <is>
          <t>(既有檔案內)</t>
        </is>
      </c>
      <c r="D44" s="4" t="inlineStr"/>
      <c r="E44" s="4" t="inlineStr"/>
    </row>
    <row r="45">
      <c r="A45" s="4" t="inlineStr">
        <is>
          <t xml:space="preserve">　└ sheet</t>
        </is>
      </c>
      <c r="B45" s="4" t="inlineStr">
        <is>
          <t>網站參數</t>
        </is>
      </c>
      <c r="C45" s="4" t="inlineStr">
        <is>
          <t>(既有檔案內)</t>
        </is>
      </c>
      <c r="D45" s="4" t="inlineStr"/>
      <c r="E45" s="4" t="inlineStr"/>
    </row>
    <row r="46">
      <c r="A46" s="4" t="inlineStr">
        <is>
          <t xml:space="preserve">　└ sheet</t>
        </is>
      </c>
      <c r="B46" s="4" t="inlineStr">
        <is>
          <t>檔案清單</t>
        </is>
      </c>
      <c r="C46" s="4" t="inlineStr">
        <is>
          <t>(既有檔案內)</t>
        </is>
      </c>
      <c r="D46" s="4" t="inlineStr"/>
      <c r="E46" s="4" t="inlineStr"/>
    </row>
    <row r="47">
      <c r="A47" s="4" t="inlineStr">
        <is>
          <t xml:space="preserve">　└ sheet</t>
        </is>
      </c>
      <c r="B47" s="4" t="inlineStr">
        <is>
          <t>參數表</t>
        </is>
      </c>
      <c r="C47" s="4" t="inlineStr">
        <is>
          <t>(既有檔案內)</t>
        </is>
      </c>
      <c r="D47" s="4" t="inlineStr"/>
      <c r="E47" s="4" t="inlineStr"/>
    </row>
    <row r="48">
      <c r="A48" s="4" t="inlineStr">
        <is>
          <t xml:space="preserve">　└ sheet</t>
        </is>
      </c>
      <c r="B48" s="4" t="inlineStr">
        <is>
          <t>UI元件與參數表</t>
        </is>
      </c>
      <c r="C48" s="4" t="inlineStr">
        <is>
          <t>(既有檔案內)</t>
        </is>
      </c>
      <c r="D48" s="4" t="inlineStr"/>
      <c r="E48" s="4" t="inlineStr"/>
    </row>
    <row r="49">
      <c r="A49" s="4" t="inlineStr">
        <is>
          <t xml:space="preserve">　└ sheet</t>
        </is>
      </c>
      <c r="B49" s="4" t="inlineStr">
        <is>
          <t>全站重劃區清單</t>
        </is>
      </c>
      <c r="C49" s="4" t="inlineStr">
        <is>
          <t>(既有檔案內)</t>
        </is>
      </c>
      <c r="D49" s="4" t="inlineStr"/>
      <c r="E49" s="4" t="inlineStr"/>
    </row>
    <row r="50">
      <c r="A50" s="4" t="inlineStr">
        <is>
          <t xml:space="preserve">　└ sheet</t>
        </is>
      </c>
      <c r="B50" s="4" t="inlineStr">
        <is>
          <t>縣市索引</t>
        </is>
      </c>
      <c r="C50" s="4" t="inlineStr">
        <is>
          <t>(既有檔案內)</t>
        </is>
      </c>
      <c r="D50" s="4" t="inlineStr"/>
      <c r="E50" s="4" t="inlineStr"/>
    </row>
    <row r="51">
      <c r="A51" s="4" t="inlineStr">
        <is>
          <t xml:space="preserve">　└ sheet</t>
        </is>
      </c>
      <c r="B51" s="4" t="inlineStr">
        <is>
          <t>缺圖清單</t>
        </is>
      </c>
      <c r="C51" s="4" t="inlineStr">
        <is>
          <t>(既有檔案內)</t>
        </is>
      </c>
      <c r="D51" s="4" t="inlineStr"/>
      <c r="E51" s="4" t="inlineStr"/>
    </row>
    <row r="52">
      <c r="A52" s="4" t="inlineStr">
        <is>
          <t xml:space="preserve">　└ sheet</t>
        </is>
      </c>
      <c r="B52" s="4" t="inlineStr">
        <is>
          <t>更新SOP</t>
        </is>
      </c>
      <c r="C52" s="4" t="inlineStr">
        <is>
          <t>(既有檔案內)</t>
        </is>
      </c>
      <c r="D52" s="4" t="inlineStr"/>
      <c r="E52" s="4" t="inlineStr"/>
    </row>
    <row r="53">
      <c r="A53" s="4" t="inlineStr">
        <is>
          <t xml:space="preserve">　└ sheet</t>
        </is>
      </c>
      <c r="B53" s="4" t="inlineStr">
        <is>
          <t>todolist</t>
        </is>
      </c>
      <c r="C53" s="4" t="inlineStr">
        <is>
          <t>(既有檔案內)</t>
        </is>
      </c>
      <c r="D53" s="4" t="inlineStr"/>
      <c r="E53" s="4" t="inlineStr"/>
    </row>
    <row r="54">
      <c r="A54" s="4" t="inlineStr">
        <is>
          <t xml:space="preserve">　└ sheet</t>
        </is>
      </c>
      <c r="B54" s="4" t="inlineStr">
        <is>
          <t>建案總表</t>
        </is>
      </c>
      <c r="C54" s="4" t="inlineStr">
        <is>
          <t>(既有檔案內)</t>
        </is>
      </c>
      <c r="D54" s="4" t="inlineStr"/>
      <c r="E54" s="4" t="inlineStr"/>
    </row>
    <row r="55">
      <c r="A55" s="4" t="inlineStr">
        <is>
          <t xml:space="preserve">　└ sheet</t>
        </is>
      </c>
      <c r="B55" s="4" t="inlineStr">
        <is>
          <t>重劃區建案明細</t>
        </is>
      </c>
      <c r="C55" s="4" t="inlineStr">
        <is>
          <t>(既有檔案內)</t>
        </is>
      </c>
      <c r="D55" s="4" t="inlineStr"/>
      <c r="E55" s="4" t="inlineStr"/>
    </row>
    <row r="56">
      <c r="A56" s="4" t="inlineStr">
        <is>
          <t xml:space="preserve">　└ sheet</t>
        </is>
      </c>
      <c r="B56" s="4" t="inlineStr">
        <is>
          <t>研究說明與覆蓋率</t>
        </is>
      </c>
      <c r="C56" s="4" t="inlineStr">
        <is>
          <t>(既有檔案內)</t>
        </is>
      </c>
      <c r="D56" s="4" t="inlineStr"/>
      <c r="E56" s="4" t="inlineStr"/>
    </row>
    <row r="57">
      <c r="A57" s="4" t="inlineStr">
        <is>
          <t xml:space="preserve">　└ sheet</t>
        </is>
      </c>
      <c r="B57" s="4" t="inlineStr">
        <is>
          <t>網站檔案清單</t>
        </is>
      </c>
      <c r="C57" s="4" t="inlineStr">
        <is>
          <t>(既有檔案內)</t>
        </is>
      </c>
      <c r="D57" s="4" t="inlineStr"/>
      <c r="E57" s="4" t="inlineStr"/>
    </row>
    <row r="58">
      <c r="A58" s="4" t="inlineStr">
        <is>
          <t xml:space="preserve">　└ sheet</t>
        </is>
      </c>
      <c r="B58" s="4" t="inlineStr">
        <is>
          <t>改前快照對照</t>
        </is>
      </c>
      <c r="C58" s="4" t="inlineStr">
        <is>
          <t>(既有檔案內)</t>
        </is>
      </c>
      <c r="D58" s="4" t="inlineStr"/>
      <c r="E58" s="4" t="inlineStr"/>
    </row>
    <row r="59">
      <c r="A59" s="4" t="inlineStr">
        <is>
          <t xml:space="preserve">　└ sheet</t>
        </is>
      </c>
      <c r="B59" s="4" t="inlineStr">
        <is>
          <t>公寓大廈報備摘要</t>
        </is>
      </c>
      <c r="C59" s="4" t="inlineStr">
        <is>
          <t>(既有檔案內)</t>
        </is>
      </c>
      <c r="D59" s="4" t="inlineStr"/>
      <c r="E59" s="4" t="inlineStr"/>
    </row>
    <row r="60">
      <c r="A60" s="2" t="inlineStr">
        <is>
          <t>② 縣市內頁（22 縣市 × 5 檔 = 110）</t>
        </is>
      </c>
      <c r="B60" s="3" t="inlineStr"/>
      <c r="C60" s="3" t="inlineStr"/>
      <c r="D60" s="3" t="inlineStr"/>
      <c r="E60" s="3" t="inlineStr"/>
    </row>
    <row r="61">
      <c r="A61" s="4" t="inlineStr">
        <is>
          <t>②臺北市</t>
        </is>
      </c>
      <c r="B61" s="4" t="inlineStr">
        <is>
          <t>首頁（index.html）</t>
        </is>
      </c>
      <c r="C61" s="4" t="inlineStr">
        <is>
          <t>taipei/index.html</t>
        </is>
      </c>
      <c r="D61" s="4" t="inlineStr">
        <is>
          <t>已存在</t>
        </is>
      </c>
      <c r="E61" s="4" t="inlineStr">
        <is>
          <t>taipei/index.html</t>
        </is>
      </c>
    </row>
    <row r="62">
      <c r="A62" s="4" t="inlineStr">
        <is>
          <t>②臺北市</t>
        </is>
      </c>
      <c r="B62" s="4" t="inlineStr">
        <is>
          <t>公辦市地重劃（public-urban-land-readjustment.html）</t>
        </is>
      </c>
      <c r="C62" s="4" t="inlineStr">
        <is>
          <t>taipei/public-urban-land-readjustment.html</t>
        </is>
      </c>
      <c r="D62" s="4" t="inlineStr">
        <is>
          <t>已存在</t>
        </is>
      </c>
      <c r="E62" s="4" t="inlineStr">
        <is>
          <t>taipei/public-urban-land-readjustment.html</t>
        </is>
      </c>
    </row>
    <row r="63">
      <c r="A63" s="4" t="inlineStr">
        <is>
          <t>②臺北市</t>
        </is>
      </c>
      <c r="B63" s="4" t="inlineStr">
        <is>
          <t>自辦市地重劃（private-urban-land-readjustment.html）</t>
        </is>
      </c>
      <c r="C63" s="4" t="inlineStr">
        <is>
          <t>taipei/private-urban-land-readjustment.html</t>
        </is>
      </c>
      <c r="D63" s="4" t="inlineStr">
        <is>
          <t>已存在</t>
        </is>
      </c>
      <c r="E63" s="4" t="inlineStr">
        <is>
          <t>taipei/private-urban-land-readjustment.html</t>
        </is>
      </c>
    </row>
    <row r="64">
      <c r="A64" s="4" t="inlineStr">
        <is>
          <t>②臺北市</t>
        </is>
      </c>
      <c r="B64" s="4" t="inlineStr">
        <is>
          <t>區段徵收（zone-expropriation.html）</t>
        </is>
      </c>
      <c r="C64" s="4" t="inlineStr">
        <is>
          <t>taipei/zone-expropriation.html</t>
        </is>
      </c>
      <c r="D64" s="4" t="inlineStr">
        <is>
          <t>已存在</t>
        </is>
      </c>
      <c r="E64" s="4" t="inlineStr">
        <is>
          <t>taipei/zone-expropriation.html</t>
        </is>
      </c>
    </row>
    <row r="65">
      <c r="A65" s="4" t="inlineStr">
        <is>
          <t>②臺北市</t>
        </is>
      </c>
      <c r="B65" s="4" t="inlineStr">
        <is>
          <t>都市更新（urban-renewal.html）</t>
        </is>
      </c>
      <c r="C65" s="4" t="inlineStr">
        <is>
          <t>taipei/urban-renewal.html</t>
        </is>
      </c>
      <c r="D65" s="4" t="inlineStr">
        <is>
          <t>已存在</t>
        </is>
      </c>
      <c r="E65" s="4" t="inlineStr">
        <is>
          <t>taipei/urban-renewal.html</t>
        </is>
      </c>
    </row>
    <row r="66">
      <c r="A66" s="4" t="inlineStr">
        <is>
          <t>②新北市</t>
        </is>
      </c>
      <c r="B66" s="4" t="inlineStr">
        <is>
          <t>首頁（index.html）</t>
        </is>
      </c>
      <c r="C66" s="4" t="inlineStr">
        <is>
          <t>new-taipei/index.html</t>
        </is>
      </c>
      <c r="D66" s="4" t="inlineStr">
        <is>
          <t>已存在</t>
        </is>
      </c>
      <c r="E66" s="4" t="inlineStr">
        <is>
          <t>new-taipei/index.html</t>
        </is>
      </c>
    </row>
    <row r="67">
      <c r="A67" s="4" t="inlineStr">
        <is>
          <t>②新北市</t>
        </is>
      </c>
      <c r="B67" s="4" t="inlineStr">
        <is>
          <t>公辦市地重劃（public-urban-land-readjustment.html）</t>
        </is>
      </c>
      <c r="C67" s="4" t="inlineStr">
        <is>
          <t>new-taipei/public-urban-land-readjustment.html</t>
        </is>
      </c>
      <c r="D67" s="4" t="inlineStr">
        <is>
          <t>已存在</t>
        </is>
      </c>
      <c r="E67" s="4" t="inlineStr">
        <is>
          <t>new-taipei/public-urban-land-readjustment.html</t>
        </is>
      </c>
    </row>
    <row r="68">
      <c r="A68" s="4" t="inlineStr">
        <is>
          <t>②新北市</t>
        </is>
      </c>
      <c r="B68" s="4" t="inlineStr">
        <is>
          <t>自辦市地重劃（private-urban-land-readjustment.html）</t>
        </is>
      </c>
      <c r="C68" s="4" t="inlineStr">
        <is>
          <t>new-taipei/private-urban-land-readjustment.html</t>
        </is>
      </c>
      <c r="D68" s="4" t="inlineStr">
        <is>
          <t>已存在</t>
        </is>
      </c>
      <c r="E68" s="4" t="inlineStr">
        <is>
          <t>new-taipei/private-urban-land-readjustment.html</t>
        </is>
      </c>
    </row>
    <row r="69">
      <c r="A69" s="4" t="inlineStr">
        <is>
          <t>②新北市</t>
        </is>
      </c>
      <c r="B69" s="4" t="inlineStr">
        <is>
          <t>區段徵收（zone-expropriation.html）</t>
        </is>
      </c>
      <c r="C69" s="4" t="inlineStr">
        <is>
          <t>new-taipei/zone-expropriation.html</t>
        </is>
      </c>
      <c r="D69" s="4" t="inlineStr">
        <is>
          <t>已存在</t>
        </is>
      </c>
      <c r="E69" s="4" t="inlineStr">
        <is>
          <t>new-taipei/zone-expropriation.html</t>
        </is>
      </c>
    </row>
    <row r="70">
      <c r="A70" s="4" t="inlineStr">
        <is>
          <t>②新北市</t>
        </is>
      </c>
      <c r="B70" s="4" t="inlineStr">
        <is>
          <t>都市更新（urban-renewal.html）</t>
        </is>
      </c>
      <c r="C70" s="4" t="inlineStr">
        <is>
          <t>new-taipei/urban-renewal.html</t>
        </is>
      </c>
      <c r="D70" s="4" t="inlineStr">
        <is>
          <t>已存在</t>
        </is>
      </c>
      <c r="E70" s="4" t="inlineStr">
        <is>
          <t>new-taipei/urban-renewal.html</t>
        </is>
      </c>
    </row>
    <row r="71">
      <c r="A71" s="4" t="inlineStr">
        <is>
          <t>②桃園市</t>
        </is>
      </c>
      <c r="B71" s="4" t="inlineStr">
        <is>
          <t>首頁（index.html）</t>
        </is>
      </c>
      <c r="C71" s="4" t="inlineStr">
        <is>
          <t>taoyuan/index.html</t>
        </is>
      </c>
      <c r="D71" s="4" t="inlineStr">
        <is>
          <t>已存在</t>
        </is>
      </c>
      <c r="E71" s="4" t="inlineStr">
        <is>
          <t>taoyuan/index.html</t>
        </is>
      </c>
    </row>
    <row r="72">
      <c r="A72" s="4" t="inlineStr">
        <is>
          <t>②桃園市</t>
        </is>
      </c>
      <c r="B72" s="4" t="inlineStr">
        <is>
          <t>公辦市地重劃（public-urban-land-readjustment.html）</t>
        </is>
      </c>
      <c r="C72" s="4" t="inlineStr">
        <is>
          <t>taoyuan/public-urban-land-readjustment.html</t>
        </is>
      </c>
      <c r="D72" s="4" t="inlineStr">
        <is>
          <t>已存在</t>
        </is>
      </c>
      <c r="E72" s="4" t="inlineStr">
        <is>
          <t>taoyuan/public-urban-land-readjustment.html</t>
        </is>
      </c>
    </row>
    <row r="73">
      <c r="A73" s="4" t="inlineStr">
        <is>
          <t>②桃園市</t>
        </is>
      </c>
      <c r="B73" s="4" t="inlineStr">
        <is>
          <t>自辦市地重劃（private-urban-land-readjustment.html）</t>
        </is>
      </c>
      <c r="C73" s="4" t="inlineStr">
        <is>
          <t>taoyuan/private-urban-land-readjustment.html</t>
        </is>
      </c>
      <c r="D73" s="4" t="inlineStr">
        <is>
          <t>已存在</t>
        </is>
      </c>
      <c r="E73" s="4" t="inlineStr">
        <is>
          <t>taoyuan/private-urban-land-readjustment.html</t>
        </is>
      </c>
    </row>
    <row r="74">
      <c r="A74" s="4" t="inlineStr">
        <is>
          <t>②桃園市</t>
        </is>
      </c>
      <c r="B74" s="4" t="inlineStr">
        <is>
          <t>區段徵收（zone-expropriation.html）</t>
        </is>
      </c>
      <c r="C74" s="4" t="inlineStr">
        <is>
          <t>taoyuan/zone-expropriation.html</t>
        </is>
      </c>
      <c r="D74" s="4" t="inlineStr">
        <is>
          <t>已存在</t>
        </is>
      </c>
      <c r="E74" s="4" t="inlineStr">
        <is>
          <t>taoyuan/zone-expropriation.html</t>
        </is>
      </c>
    </row>
    <row r="75">
      <c r="A75" s="4" t="inlineStr">
        <is>
          <t>②桃園市</t>
        </is>
      </c>
      <c r="B75" s="4" t="inlineStr">
        <is>
          <t>都市更新（urban-renewal.html）</t>
        </is>
      </c>
      <c r="C75" s="4" t="inlineStr">
        <is>
          <t>taoyuan/urban-renewal.html</t>
        </is>
      </c>
      <c r="D75" s="4" t="inlineStr">
        <is>
          <t>已存在</t>
        </is>
      </c>
      <c r="E75" s="4" t="inlineStr">
        <is>
          <t>taoyuan/urban-renewal.html</t>
        </is>
      </c>
    </row>
    <row r="76">
      <c r="A76" s="4" t="inlineStr">
        <is>
          <t>②臺中市</t>
        </is>
      </c>
      <c r="B76" s="4" t="inlineStr">
        <is>
          <t>首頁（index.html）</t>
        </is>
      </c>
      <c r="C76" s="4" t="inlineStr">
        <is>
          <t>taichung/index.html</t>
        </is>
      </c>
      <c r="D76" s="4" t="inlineStr">
        <is>
          <t>已存在</t>
        </is>
      </c>
      <c r="E76" s="4" t="inlineStr">
        <is>
          <t>taichung/index.html</t>
        </is>
      </c>
    </row>
    <row r="77">
      <c r="A77" s="4" t="inlineStr">
        <is>
          <t>②臺中市</t>
        </is>
      </c>
      <c r="B77" s="4" t="inlineStr">
        <is>
          <t>公辦市地重劃（public-urban-land-readjustment.html）</t>
        </is>
      </c>
      <c r="C77" s="4" t="inlineStr">
        <is>
          <t>taichung/public-urban-land-readjustment.html</t>
        </is>
      </c>
      <c r="D77" s="4" t="inlineStr">
        <is>
          <t>已存在</t>
        </is>
      </c>
      <c r="E77" s="4" t="inlineStr">
        <is>
          <t>taichung/public-urban-land-readjustment.html</t>
        </is>
      </c>
    </row>
    <row r="78">
      <c r="A78" s="4" t="inlineStr">
        <is>
          <t>②臺中市</t>
        </is>
      </c>
      <c r="B78" s="4" t="inlineStr">
        <is>
          <t>自辦市地重劃（private-urban-land-readjustment.html）</t>
        </is>
      </c>
      <c r="C78" s="4" t="inlineStr">
        <is>
          <t>taichung/private-urban-land-readjustment.html</t>
        </is>
      </c>
      <c r="D78" s="4" t="inlineStr">
        <is>
          <t>已存在</t>
        </is>
      </c>
      <c r="E78" s="4" t="inlineStr">
        <is>
          <t>taichung/private-urban-land-readjustment.html</t>
        </is>
      </c>
    </row>
    <row r="79">
      <c r="A79" s="4" t="inlineStr">
        <is>
          <t>②臺中市</t>
        </is>
      </c>
      <c r="B79" s="4" t="inlineStr">
        <is>
          <t>區段徵收（zone-expropriation.html）</t>
        </is>
      </c>
      <c r="C79" s="4" t="inlineStr">
        <is>
          <t>taichung/zone-expropriation.html</t>
        </is>
      </c>
      <c r="D79" s="4" t="inlineStr">
        <is>
          <t>已存在</t>
        </is>
      </c>
      <c r="E79" s="4" t="inlineStr">
        <is>
          <t>taichung/zone-expropriation.html</t>
        </is>
      </c>
    </row>
    <row r="80">
      <c r="A80" s="4" t="inlineStr">
        <is>
          <t>②臺中市</t>
        </is>
      </c>
      <c r="B80" s="4" t="inlineStr">
        <is>
          <t>都市更新（urban-renewal.html）</t>
        </is>
      </c>
      <c r="C80" s="4" t="inlineStr">
        <is>
          <t>taichung/urban-renewal.html</t>
        </is>
      </c>
      <c r="D80" s="4" t="inlineStr">
        <is>
          <t>已存在</t>
        </is>
      </c>
      <c r="E80" s="4" t="inlineStr">
        <is>
          <t>taichung/urban-renewal.html</t>
        </is>
      </c>
    </row>
    <row r="81">
      <c r="A81" s="4" t="inlineStr">
        <is>
          <t>②臺南市</t>
        </is>
      </c>
      <c r="B81" s="4" t="inlineStr">
        <is>
          <t>首頁（index.html）</t>
        </is>
      </c>
      <c r="C81" s="4" t="inlineStr">
        <is>
          <t>tainan/index.html</t>
        </is>
      </c>
      <c r="D81" s="4" t="inlineStr">
        <is>
          <t>已存在</t>
        </is>
      </c>
      <c r="E81" s="4" t="inlineStr">
        <is>
          <t>tainan/index.html</t>
        </is>
      </c>
    </row>
    <row r="82">
      <c r="A82" s="4" t="inlineStr">
        <is>
          <t>②臺南市</t>
        </is>
      </c>
      <c r="B82" s="4" t="inlineStr">
        <is>
          <t>公辦市地重劃（public-urban-land-readjustment.html）</t>
        </is>
      </c>
      <c r="C82" s="4" t="inlineStr">
        <is>
          <t>tainan/public-urban-land-readjustment.html</t>
        </is>
      </c>
      <c r="D82" s="4" t="inlineStr">
        <is>
          <t>已存在</t>
        </is>
      </c>
      <c r="E82" s="4" t="inlineStr">
        <is>
          <t>tainan/public-urban-land-readjustment.html</t>
        </is>
      </c>
    </row>
    <row r="83">
      <c r="A83" s="4" t="inlineStr">
        <is>
          <t>②臺南市</t>
        </is>
      </c>
      <c r="B83" s="4" t="inlineStr">
        <is>
          <t>自辦市地重劃（private-urban-land-readjustment.html）</t>
        </is>
      </c>
      <c r="C83" s="4" t="inlineStr">
        <is>
          <t>tainan/private-urban-land-readjustment.html</t>
        </is>
      </c>
      <c r="D83" s="4" t="inlineStr">
        <is>
          <t>已存在</t>
        </is>
      </c>
      <c r="E83" s="4" t="inlineStr">
        <is>
          <t>tainan/private-urban-land-readjustment.html</t>
        </is>
      </c>
    </row>
    <row r="84">
      <c r="A84" s="4" t="inlineStr">
        <is>
          <t>②臺南市</t>
        </is>
      </c>
      <c r="B84" s="4" t="inlineStr">
        <is>
          <t>區段徵收（zone-expropriation.html）</t>
        </is>
      </c>
      <c r="C84" s="4" t="inlineStr">
        <is>
          <t>tainan/zone-expropriation.html</t>
        </is>
      </c>
      <c r="D84" s="4" t="inlineStr">
        <is>
          <t>已存在</t>
        </is>
      </c>
      <c r="E84" s="4" t="inlineStr">
        <is>
          <t>tainan/zone-expropriation.html</t>
        </is>
      </c>
    </row>
    <row r="85">
      <c r="A85" s="4" t="inlineStr">
        <is>
          <t>②臺南市</t>
        </is>
      </c>
      <c r="B85" s="4" t="inlineStr">
        <is>
          <t>都市更新（urban-renewal.html）</t>
        </is>
      </c>
      <c r="C85" s="4" t="inlineStr">
        <is>
          <t>tainan/urban-renewal.html</t>
        </is>
      </c>
      <c r="D85" s="4" t="inlineStr">
        <is>
          <t>已存在</t>
        </is>
      </c>
      <c r="E85" s="4" t="inlineStr">
        <is>
          <t>tainan/urban-renewal.html</t>
        </is>
      </c>
    </row>
    <row r="86">
      <c r="A86" s="4" t="inlineStr">
        <is>
          <t>②高雄市</t>
        </is>
      </c>
      <c r="B86" s="4" t="inlineStr">
        <is>
          <t>首頁（index.html）</t>
        </is>
      </c>
      <c r="C86" s="4" t="inlineStr">
        <is>
          <t>kaohsiung/index.html</t>
        </is>
      </c>
      <c r="D86" s="4" t="inlineStr">
        <is>
          <t>已存在</t>
        </is>
      </c>
      <c r="E86" s="4" t="inlineStr">
        <is>
          <t>kaohsiung/index.html</t>
        </is>
      </c>
    </row>
    <row r="87">
      <c r="A87" s="4" t="inlineStr">
        <is>
          <t>②高雄市</t>
        </is>
      </c>
      <c r="B87" s="4" t="inlineStr">
        <is>
          <t>公辦市地重劃（public-urban-land-readjustment.html）</t>
        </is>
      </c>
      <c r="C87" s="4" t="inlineStr">
        <is>
          <t>kaohsiung/public-urban-land-readjustment.html</t>
        </is>
      </c>
      <c r="D87" s="4" t="inlineStr">
        <is>
          <t>已存在</t>
        </is>
      </c>
      <c r="E87" s="4" t="inlineStr">
        <is>
          <t>kaohsiung/public-urban-land-readjustment.html</t>
        </is>
      </c>
    </row>
    <row r="88">
      <c r="A88" s="4" t="inlineStr">
        <is>
          <t>②高雄市</t>
        </is>
      </c>
      <c r="B88" s="4" t="inlineStr">
        <is>
          <t>自辦市地重劃（private-urban-land-readjustment.html）</t>
        </is>
      </c>
      <c r="C88" s="4" t="inlineStr">
        <is>
          <t>kaohsiung/private-urban-land-readjustment.html</t>
        </is>
      </c>
      <c r="D88" s="4" t="inlineStr">
        <is>
          <t>已存在</t>
        </is>
      </c>
      <c r="E88" s="4" t="inlineStr">
        <is>
          <t>kaohsiung/private-urban-land-readjustment.html</t>
        </is>
      </c>
    </row>
    <row r="89">
      <c r="A89" s="4" t="inlineStr">
        <is>
          <t>②高雄市</t>
        </is>
      </c>
      <c r="B89" s="4" t="inlineStr">
        <is>
          <t>區段徵收（zone-expropriation.html）</t>
        </is>
      </c>
      <c r="C89" s="4" t="inlineStr">
        <is>
          <t>kaohsiung/zone-expropriation.html</t>
        </is>
      </c>
      <c r="D89" s="4" t="inlineStr">
        <is>
          <t>已存在</t>
        </is>
      </c>
      <c r="E89" s="4" t="inlineStr">
        <is>
          <t>kaohsiung/zone-expropriation.html</t>
        </is>
      </c>
    </row>
    <row r="90">
      <c r="A90" s="4" t="inlineStr">
        <is>
          <t>②高雄市</t>
        </is>
      </c>
      <c r="B90" s="4" t="inlineStr">
        <is>
          <t>都市更新（urban-renewal.html）</t>
        </is>
      </c>
      <c r="C90" s="4" t="inlineStr">
        <is>
          <t>kaohsiung/urban-renewal.html</t>
        </is>
      </c>
      <c r="D90" s="4" t="inlineStr">
        <is>
          <t>已存在</t>
        </is>
      </c>
      <c r="E90" s="4" t="inlineStr">
        <is>
          <t>kaohsiung/urban-renewal.html</t>
        </is>
      </c>
    </row>
    <row r="91">
      <c r="A91" s="4" t="inlineStr">
        <is>
          <t>②基隆市</t>
        </is>
      </c>
      <c r="B91" s="4" t="inlineStr">
        <is>
          <t>首頁（index.html）</t>
        </is>
      </c>
      <c r="C91" s="4" t="inlineStr">
        <is>
          <t>keelung/index.html</t>
        </is>
      </c>
      <c r="D91" s="4" t="inlineStr">
        <is>
          <t>已存在</t>
        </is>
      </c>
      <c r="E91" s="4" t="inlineStr">
        <is>
          <t>keelung/index.html</t>
        </is>
      </c>
    </row>
    <row r="92">
      <c r="A92" s="4" t="inlineStr">
        <is>
          <t>②基隆市</t>
        </is>
      </c>
      <c r="B92" s="4" t="inlineStr">
        <is>
          <t>公辦市地重劃（public-urban-land-readjustment.html）</t>
        </is>
      </c>
      <c r="C92" s="4" t="inlineStr">
        <is>
          <t>keelung/public-urban-land-readjustment.html</t>
        </is>
      </c>
      <c r="D92" s="4" t="inlineStr">
        <is>
          <t>已存在</t>
        </is>
      </c>
      <c r="E92" s="4" t="inlineStr">
        <is>
          <t>keelung/public-urban-land-readjustment.html</t>
        </is>
      </c>
    </row>
    <row r="93">
      <c r="A93" s="4" t="inlineStr">
        <is>
          <t>②基隆市</t>
        </is>
      </c>
      <c r="B93" s="4" t="inlineStr">
        <is>
          <t>自辦市地重劃（private-urban-land-readjustment.html）</t>
        </is>
      </c>
      <c r="C93" s="4" t="inlineStr">
        <is>
          <t>keelung/private-urban-land-readjustment.html</t>
        </is>
      </c>
      <c r="D93" s="4" t="inlineStr">
        <is>
          <t>已存在</t>
        </is>
      </c>
      <c r="E93" s="4" t="inlineStr">
        <is>
          <t>keelung/private-urban-land-readjustment.html</t>
        </is>
      </c>
    </row>
    <row r="94">
      <c r="A94" s="4" t="inlineStr">
        <is>
          <t>②基隆市</t>
        </is>
      </c>
      <c r="B94" s="4" t="inlineStr">
        <is>
          <t>區段徵收（zone-expropriation.html）</t>
        </is>
      </c>
      <c r="C94" s="4" t="inlineStr">
        <is>
          <t>keelung/zone-expropriation.html</t>
        </is>
      </c>
      <c r="D94" s="4" t="inlineStr">
        <is>
          <t>已存在</t>
        </is>
      </c>
      <c r="E94" s="4" t="inlineStr">
        <is>
          <t>keelung/zone-expropriation.html</t>
        </is>
      </c>
    </row>
    <row r="95">
      <c r="A95" s="4" t="inlineStr">
        <is>
          <t>②基隆市</t>
        </is>
      </c>
      <c r="B95" s="4" t="inlineStr">
        <is>
          <t>都市更新（urban-renewal.html）</t>
        </is>
      </c>
      <c r="C95" s="4" t="inlineStr">
        <is>
          <t>keelung/urban-renewal.html</t>
        </is>
      </c>
      <c r="D95" s="4" t="inlineStr">
        <is>
          <t>已存在</t>
        </is>
      </c>
      <c r="E95" s="4" t="inlineStr">
        <is>
          <t>keelung/urban-renewal.html</t>
        </is>
      </c>
    </row>
    <row r="96">
      <c r="A96" s="4" t="inlineStr">
        <is>
          <t>②新竹市</t>
        </is>
      </c>
      <c r="B96" s="4" t="inlineStr">
        <is>
          <t>首頁（index.html）</t>
        </is>
      </c>
      <c r="C96" s="4" t="inlineStr">
        <is>
          <t>hsinchu-city/index.html</t>
        </is>
      </c>
      <c r="D96" s="4" t="inlineStr">
        <is>
          <t>已存在</t>
        </is>
      </c>
      <c r="E96" s="4" t="inlineStr">
        <is>
          <t>hsinchu-city/index.html</t>
        </is>
      </c>
    </row>
    <row r="97">
      <c r="A97" s="4" t="inlineStr">
        <is>
          <t>②新竹市</t>
        </is>
      </c>
      <c r="B97" s="4" t="inlineStr">
        <is>
          <t>公辦市地重劃（public-urban-land-readjustment.html）</t>
        </is>
      </c>
      <c r="C97" s="4" t="inlineStr">
        <is>
          <t>hsinchu-city/public-urban-land-readjustment.html</t>
        </is>
      </c>
      <c r="D97" s="4" t="inlineStr">
        <is>
          <t>已存在</t>
        </is>
      </c>
      <c r="E97" s="4" t="inlineStr">
        <is>
          <t>hsinchu-city/public-urban-land-readjustment.html</t>
        </is>
      </c>
    </row>
    <row r="98">
      <c r="A98" s="4" t="inlineStr">
        <is>
          <t>②新竹市</t>
        </is>
      </c>
      <c r="B98" s="4" t="inlineStr">
        <is>
          <t>自辦市地重劃（private-urban-land-readjustment.html）</t>
        </is>
      </c>
      <c r="C98" s="4" t="inlineStr">
        <is>
          <t>hsinchu-city/private-urban-land-readjustment.html</t>
        </is>
      </c>
      <c r="D98" s="4" t="inlineStr">
        <is>
          <t>已存在</t>
        </is>
      </c>
      <c r="E98" s="4" t="inlineStr">
        <is>
          <t>hsinchu-city/private-urban-land-readjustment.html</t>
        </is>
      </c>
    </row>
    <row r="99">
      <c r="A99" s="4" t="inlineStr">
        <is>
          <t>②新竹市</t>
        </is>
      </c>
      <c r="B99" s="4" t="inlineStr">
        <is>
          <t>區段徵收（zone-expropriation.html）</t>
        </is>
      </c>
      <c r="C99" s="4" t="inlineStr">
        <is>
          <t>hsinchu-city/zone-expropriation.html</t>
        </is>
      </c>
      <c r="D99" s="4" t="inlineStr">
        <is>
          <t>已存在</t>
        </is>
      </c>
      <c r="E99" s="4" t="inlineStr">
        <is>
          <t>hsinchu-city/zone-expropriation.html</t>
        </is>
      </c>
    </row>
    <row r="100">
      <c r="A100" s="4" t="inlineStr">
        <is>
          <t>②新竹市</t>
        </is>
      </c>
      <c r="B100" s="4" t="inlineStr">
        <is>
          <t>都市更新（urban-renewal.html）</t>
        </is>
      </c>
      <c r="C100" s="4" t="inlineStr">
        <is>
          <t>hsinchu-city/urban-renewal.html</t>
        </is>
      </c>
      <c r="D100" s="4" t="inlineStr">
        <is>
          <t>已存在</t>
        </is>
      </c>
      <c r="E100" s="4" t="inlineStr">
        <is>
          <t>hsinchu-city/urban-renewal.html</t>
        </is>
      </c>
    </row>
    <row r="101">
      <c r="A101" s="4" t="inlineStr">
        <is>
          <t>②新竹縣</t>
        </is>
      </c>
      <c r="B101" s="4" t="inlineStr">
        <is>
          <t>首頁（index.html）</t>
        </is>
      </c>
      <c r="C101" s="4" t="inlineStr">
        <is>
          <t>hsinchu-county/index.html</t>
        </is>
      </c>
      <c r="D101" s="4" t="inlineStr">
        <is>
          <t>已存在</t>
        </is>
      </c>
      <c r="E101" s="4" t="inlineStr">
        <is>
          <t>hsinchu-county/index.html</t>
        </is>
      </c>
    </row>
    <row r="102">
      <c r="A102" s="4" t="inlineStr">
        <is>
          <t>②新竹縣</t>
        </is>
      </c>
      <c r="B102" s="4" t="inlineStr">
        <is>
          <t>公辦市地重劃（public-urban-land-readjustment.html）</t>
        </is>
      </c>
      <c r="C102" s="4" t="inlineStr">
        <is>
          <t>hsinchu-county/public-urban-land-readjustment.html</t>
        </is>
      </c>
      <c r="D102" s="4" t="inlineStr">
        <is>
          <t>已存在</t>
        </is>
      </c>
      <c r="E102" s="4" t="inlineStr">
        <is>
          <t>hsinchu-county/public-urban-land-readjustment.html</t>
        </is>
      </c>
    </row>
    <row r="103">
      <c r="A103" s="4" t="inlineStr">
        <is>
          <t>②新竹縣</t>
        </is>
      </c>
      <c r="B103" s="4" t="inlineStr">
        <is>
          <t>自辦市地重劃（private-urban-land-readjustment.html）</t>
        </is>
      </c>
      <c r="C103" s="4" t="inlineStr">
        <is>
          <t>hsinchu-county/private-urban-land-readjustment.html</t>
        </is>
      </c>
      <c r="D103" s="4" t="inlineStr">
        <is>
          <t>已存在</t>
        </is>
      </c>
      <c r="E103" s="4" t="inlineStr">
        <is>
          <t>hsinchu-county/private-urban-land-readjustment.html</t>
        </is>
      </c>
    </row>
    <row r="104">
      <c r="A104" s="4" t="inlineStr">
        <is>
          <t>②新竹縣</t>
        </is>
      </c>
      <c r="B104" s="4" t="inlineStr">
        <is>
          <t>區段徵收（zone-expropriation.html）</t>
        </is>
      </c>
      <c r="C104" s="4" t="inlineStr">
        <is>
          <t>hsinchu-county/zone-expropriation.html</t>
        </is>
      </c>
      <c r="D104" s="4" t="inlineStr">
        <is>
          <t>已存在</t>
        </is>
      </c>
      <c r="E104" s="4" t="inlineStr">
        <is>
          <t>hsinchu-county/zone-expropriation.html</t>
        </is>
      </c>
    </row>
    <row r="105">
      <c r="A105" s="4" t="inlineStr">
        <is>
          <t>②新竹縣</t>
        </is>
      </c>
      <c r="B105" s="4" t="inlineStr">
        <is>
          <t>都市更新（urban-renewal.html）</t>
        </is>
      </c>
      <c r="C105" s="4" t="inlineStr">
        <is>
          <t>hsinchu-county/urban-renewal.html</t>
        </is>
      </c>
      <c r="D105" s="4" t="inlineStr">
        <is>
          <t>已存在</t>
        </is>
      </c>
      <c r="E105" s="4" t="inlineStr">
        <is>
          <t>hsinchu-county/urban-renewal.html</t>
        </is>
      </c>
    </row>
    <row r="106">
      <c r="A106" s="4" t="inlineStr">
        <is>
          <t>②苗栗縣</t>
        </is>
      </c>
      <c r="B106" s="4" t="inlineStr">
        <is>
          <t>首頁（index.html）</t>
        </is>
      </c>
      <c r="C106" s="4" t="inlineStr">
        <is>
          <t>miaoli/index.html</t>
        </is>
      </c>
      <c r="D106" s="4" t="inlineStr">
        <is>
          <t>已存在</t>
        </is>
      </c>
      <c r="E106" s="4" t="inlineStr">
        <is>
          <t>miaoli/index.html</t>
        </is>
      </c>
    </row>
    <row r="107">
      <c r="A107" s="4" t="inlineStr">
        <is>
          <t>②苗栗縣</t>
        </is>
      </c>
      <c r="B107" s="4" t="inlineStr">
        <is>
          <t>公辦市地重劃（public-urban-land-readjustment.html）</t>
        </is>
      </c>
      <c r="C107" s="4" t="inlineStr">
        <is>
          <t>miaoli/public-urban-land-readjustment.html</t>
        </is>
      </c>
      <c r="D107" s="4" t="inlineStr">
        <is>
          <t>已存在</t>
        </is>
      </c>
      <c r="E107" s="4" t="inlineStr">
        <is>
          <t>miaoli/public-urban-land-readjustment.html</t>
        </is>
      </c>
    </row>
    <row r="108">
      <c r="A108" s="4" t="inlineStr">
        <is>
          <t>②苗栗縣</t>
        </is>
      </c>
      <c r="B108" s="4" t="inlineStr">
        <is>
          <t>自辦市地重劃（private-urban-land-readjustment.html）</t>
        </is>
      </c>
      <c r="C108" s="4" t="inlineStr">
        <is>
          <t>miaoli/private-urban-land-readjustment.html</t>
        </is>
      </c>
      <c r="D108" s="4" t="inlineStr">
        <is>
          <t>已存在</t>
        </is>
      </c>
      <c r="E108" s="4" t="inlineStr">
        <is>
          <t>miaoli/private-urban-land-readjustment.html</t>
        </is>
      </c>
    </row>
    <row r="109">
      <c r="A109" s="4" t="inlineStr">
        <is>
          <t>②苗栗縣</t>
        </is>
      </c>
      <c r="B109" s="4" t="inlineStr">
        <is>
          <t>區段徵收（zone-expropriation.html）</t>
        </is>
      </c>
      <c r="C109" s="4" t="inlineStr">
        <is>
          <t>miaoli/zone-expropriation.html</t>
        </is>
      </c>
      <c r="D109" s="4" t="inlineStr">
        <is>
          <t>已存在</t>
        </is>
      </c>
      <c r="E109" s="4" t="inlineStr">
        <is>
          <t>miaoli/zone-expropriation.html</t>
        </is>
      </c>
    </row>
    <row r="110">
      <c r="A110" s="4" t="inlineStr">
        <is>
          <t>②苗栗縣</t>
        </is>
      </c>
      <c r="B110" s="4" t="inlineStr">
        <is>
          <t>都市更新（urban-renewal.html）</t>
        </is>
      </c>
      <c r="C110" s="4" t="inlineStr">
        <is>
          <t>miaoli/urban-renewal.html</t>
        </is>
      </c>
      <c r="D110" s="4" t="inlineStr">
        <is>
          <t>已存在</t>
        </is>
      </c>
      <c r="E110" s="4" t="inlineStr">
        <is>
          <t>miaoli/urban-renewal.html</t>
        </is>
      </c>
    </row>
    <row r="111">
      <c r="A111" s="4" t="inlineStr">
        <is>
          <t>②宜蘭縣</t>
        </is>
      </c>
      <c r="B111" s="4" t="inlineStr">
        <is>
          <t>首頁（index.html）</t>
        </is>
      </c>
      <c r="C111" s="4" t="inlineStr">
        <is>
          <t>yilan/index.html</t>
        </is>
      </c>
      <c r="D111" s="4" t="inlineStr">
        <is>
          <t>已存在</t>
        </is>
      </c>
      <c r="E111" s="4" t="inlineStr">
        <is>
          <t>yilan/index.html</t>
        </is>
      </c>
    </row>
    <row r="112">
      <c r="A112" s="4" t="inlineStr">
        <is>
          <t>②宜蘭縣</t>
        </is>
      </c>
      <c r="B112" s="4" t="inlineStr">
        <is>
          <t>公辦市地重劃（public-urban-land-readjustment.html）</t>
        </is>
      </c>
      <c r="C112" s="4" t="inlineStr">
        <is>
          <t>yilan/public-urban-land-readjustment.html</t>
        </is>
      </c>
      <c r="D112" s="4" t="inlineStr">
        <is>
          <t>已存在</t>
        </is>
      </c>
      <c r="E112" s="4" t="inlineStr">
        <is>
          <t>yilan/public-urban-land-readjustment.html</t>
        </is>
      </c>
    </row>
    <row r="113">
      <c r="A113" s="4" t="inlineStr">
        <is>
          <t>②宜蘭縣</t>
        </is>
      </c>
      <c r="B113" s="4" t="inlineStr">
        <is>
          <t>自辦市地重劃（private-urban-land-readjustment.html）</t>
        </is>
      </c>
      <c r="C113" s="4" t="inlineStr">
        <is>
          <t>yilan/private-urban-land-readjustment.html</t>
        </is>
      </c>
      <c r="D113" s="4" t="inlineStr">
        <is>
          <t>已存在</t>
        </is>
      </c>
      <c r="E113" s="4" t="inlineStr">
        <is>
          <t>yilan/private-urban-land-readjustment.html</t>
        </is>
      </c>
    </row>
    <row r="114">
      <c r="A114" s="4" t="inlineStr">
        <is>
          <t>②宜蘭縣</t>
        </is>
      </c>
      <c r="B114" s="4" t="inlineStr">
        <is>
          <t>區段徵收（zone-expropriation.html）</t>
        </is>
      </c>
      <c r="C114" s="4" t="inlineStr">
        <is>
          <t>yilan/zone-expropriation.html</t>
        </is>
      </c>
      <c r="D114" s="4" t="inlineStr">
        <is>
          <t>已存在</t>
        </is>
      </c>
      <c r="E114" s="4" t="inlineStr">
        <is>
          <t>yilan/zone-expropriation.html</t>
        </is>
      </c>
    </row>
    <row r="115">
      <c r="A115" s="4" t="inlineStr">
        <is>
          <t>②宜蘭縣</t>
        </is>
      </c>
      <c r="B115" s="4" t="inlineStr">
        <is>
          <t>都市更新（urban-renewal.html）</t>
        </is>
      </c>
      <c r="C115" s="4" t="inlineStr">
        <is>
          <t>yilan/urban-renewal.html</t>
        </is>
      </c>
      <c r="D115" s="4" t="inlineStr">
        <is>
          <t>已存在</t>
        </is>
      </c>
      <c r="E115" s="4" t="inlineStr">
        <is>
          <t>yilan/urban-renewal.html</t>
        </is>
      </c>
    </row>
    <row r="116">
      <c r="A116" s="4" t="inlineStr">
        <is>
          <t>②彰化縣</t>
        </is>
      </c>
      <c r="B116" s="4" t="inlineStr">
        <is>
          <t>首頁（index.html）</t>
        </is>
      </c>
      <c r="C116" s="4" t="inlineStr">
        <is>
          <t>changhua/index.html</t>
        </is>
      </c>
      <c r="D116" s="4" t="inlineStr">
        <is>
          <t>已存在</t>
        </is>
      </c>
      <c r="E116" s="4" t="inlineStr">
        <is>
          <t>changhua/index.html</t>
        </is>
      </c>
    </row>
    <row r="117">
      <c r="A117" s="4" t="inlineStr">
        <is>
          <t>②彰化縣</t>
        </is>
      </c>
      <c r="B117" s="4" t="inlineStr">
        <is>
          <t>公辦市地重劃（public-urban-land-readjustment.html）</t>
        </is>
      </c>
      <c r="C117" s="4" t="inlineStr">
        <is>
          <t>changhua/public-urban-land-readjustment.html</t>
        </is>
      </c>
      <c r="D117" s="4" t="inlineStr">
        <is>
          <t>已存在</t>
        </is>
      </c>
      <c r="E117" s="4" t="inlineStr">
        <is>
          <t>changhua/public-urban-land-readjustment.html</t>
        </is>
      </c>
    </row>
    <row r="118">
      <c r="A118" s="4" t="inlineStr">
        <is>
          <t>②彰化縣</t>
        </is>
      </c>
      <c r="B118" s="4" t="inlineStr">
        <is>
          <t>自辦市地重劃（private-urban-land-readjustment.html）</t>
        </is>
      </c>
      <c r="C118" s="4" t="inlineStr">
        <is>
          <t>changhua/private-urban-land-readjustment.html</t>
        </is>
      </c>
      <c r="D118" s="4" t="inlineStr">
        <is>
          <t>已存在</t>
        </is>
      </c>
      <c r="E118" s="4" t="inlineStr">
        <is>
          <t>changhua/private-urban-land-readjustment.html</t>
        </is>
      </c>
    </row>
    <row r="119">
      <c r="A119" s="4" t="inlineStr">
        <is>
          <t>②彰化縣</t>
        </is>
      </c>
      <c r="B119" s="4" t="inlineStr">
        <is>
          <t>區段徵收（zone-expropriation.html）</t>
        </is>
      </c>
      <c r="C119" s="4" t="inlineStr">
        <is>
          <t>changhua/zone-expropriation.html</t>
        </is>
      </c>
      <c r="D119" s="4" t="inlineStr">
        <is>
          <t>已存在</t>
        </is>
      </c>
      <c r="E119" s="4" t="inlineStr">
        <is>
          <t>changhua/zone-expropriation.html</t>
        </is>
      </c>
    </row>
    <row r="120">
      <c r="A120" s="4" t="inlineStr">
        <is>
          <t>②彰化縣</t>
        </is>
      </c>
      <c r="B120" s="4" t="inlineStr">
        <is>
          <t>都市更新（urban-renewal.html）</t>
        </is>
      </c>
      <c r="C120" s="4" t="inlineStr">
        <is>
          <t>changhua/urban-renewal.html</t>
        </is>
      </c>
      <c r="D120" s="4" t="inlineStr">
        <is>
          <t>已存在</t>
        </is>
      </c>
      <c r="E120" s="4" t="inlineStr">
        <is>
          <t>changhua/urban-renewal.html</t>
        </is>
      </c>
    </row>
    <row r="121">
      <c r="A121" s="4" t="inlineStr">
        <is>
          <t>②南投縣</t>
        </is>
      </c>
      <c r="B121" s="4" t="inlineStr">
        <is>
          <t>首頁（index.html）</t>
        </is>
      </c>
      <c r="C121" s="4" t="inlineStr">
        <is>
          <t>nantou/index.html</t>
        </is>
      </c>
      <c r="D121" s="4" t="inlineStr">
        <is>
          <t>已存在</t>
        </is>
      </c>
      <c r="E121" s="4" t="inlineStr">
        <is>
          <t>nantou/index.html</t>
        </is>
      </c>
    </row>
    <row r="122">
      <c r="A122" s="4" t="inlineStr">
        <is>
          <t>②南投縣</t>
        </is>
      </c>
      <c r="B122" s="4" t="inlineStr">
        <is>
          <t>公辦市地重劃（public-urban-land-readjustment.html）</t>
        </is>
      </c>
      <c r="C122" s="4" t="inlineStr">
        <is>
          <t>nantou/public-urban-land-readjustment.html</t>
        </is>
      </c>
      <c r="D122" s="4" t="inlineStr">
        <is>
          <t>已存在</t>
        </is>
      </c>
      <c r="E122" s="4" t="inlineStr">
        <is>
          <t>nantou/public-urban-land-readjustment.html</t>
        </is>
      </c>
    </row>
    <row r="123">
      <c r="A123" s="4" t="inlineStr">
        <is>
          <t>②南投縣</t>
        </is>
      </c>
      <c r="B123" s="4" t="inlineStr">
        <is>
          <t>自辦市地重劃（private-urban-land-readjustment.html）</t>
        </is>
      </c>
      <c r="C123" s="4" t="inlineStr">
        <is>
          <t>nantou/private-urban-land-readjustment.html</t>
        </is>
      </c>
      <c r="D123" s="4" t="inlineStr">
        <is>
          <t>已存在</t>
        </is>
      </c>
      <c r="E123" s="4" t="inlineStr">
        <is>
          <t>nantou/private-urban-land-readjustment.html</t>
        </is>
      </c>
    </row>
    <row r="124">
      <c r="A124" s="4" t="inlineStr">
        <is>
          <t>②南投縣</t>
        </is>
      </c>
      <c r="B124" s="4" t="inlineStr">
        <is>
          <t>區段徵收（zone-expropriation.html）</t>
        </is>
      </c>
      <c r="C124" s="4" t="inlineStr">
        <is>
          <t>nantou/zone-expropriation.html</t>
        </is>
      </c>
      <c r="D124" s="4" t="inlineStr">
        <is>
          <t>已存在</t>
        </is>
      </c>
      <c r="E124" s="4" t="inlineStr">
        <is>
          <t>nantou/zone-expropriation.html</t>
        </is>
      </c>
    </row>
    <row r="125">
      <c r="A125" s="4" t="inlineStr">
        <is>
          <t>②南投縣</t>
        </is>
      </c>
      <c r="B125" s="4" t="inlineStr">
        <is>
          <t>都市更新（urban-renewal.html）</t>
        </is>
      </c>
      <c r="C125" s="4" t="inlineStr">
        <is>
          <t>nantou/urban-renewal.html</t>
        </is>
      </c>
      <c r="D125" s="4" t="inlineStr">
        <is>
          <t>已存在</t>
        </is>
      </c>
      <c r="E125" s="4" t="inlineStr">
        <is>
          <t>nantou/urban-renewal.html</t>
        </is>
      </c>
    </row>
    <row r="126">
      <c r="A126" s="4" t="inlineStr">
        <is>
          <t>②雲林縣</t>
        </is>
      </c>
      <c r="B126" s="4" t="inlineStr">
        <is>
          <t>首頁（index.html）</t>
        </is>
      </c>
      <c r="C126" s="4" t="inlineStr">
        <is>
          <t>yunlin/index.html</t>
        </is>
      </c>
      <c r="D126" s="4" t="inlineStr">
        <is>
          <t>已存在</t>
        </is>
      </c>
      <c r="E126" s="4" t="inlineStr">
        <is>
          <t>yunlin/index.html</t>
        </is>
      </c>
    </row>
    <row r="127">
      <c r="A127" s="4" t="inlineStr">
        <is>
          <t>②雲林縣</t>
        </is>
      </c>
      <c r="B127" s="4" t="inlineStr">
        <is>
          <t>公辦市地重劃（public-urban-land-readjustment.html）</t>
        </is>
      </c>
      <c r="C127" s="4" t="inlineStr">
        <is>
          <t>yunlin/public-urban-land-readjustment.html</t>
        </is>
      </c>
      <c r="D127" s="4" t="inlineStr">
        <is>
          <t>已存在</t>
        </is>
      </c>
      <c r="E127" s="4" t="inlineStr">
        <is>
          <t>yunlin/public-urban-land-readjustment.html</t>
        </is>
      </c>
    </row>
    <row r="128">
      <c r="A128" s="4" t="inlineStr">
        <is>
          <t>②雲林縣</t>
        </is>
      </c>
      <c r="B128" s="4" t="inlineStr">
        <is>
          <t>自辦市地重劃（private-urban-land-readjustment.html）</t>
        </is>
      </c>
      <c r="C128" s="4" t="inlineStr">
        <is>
          <t>yunlin/private-urban-land-readjustment.html</t>
        </is>
      </c>
      <c r="D128" s="4" t="inlineStr">
        <is>
          <t>已存在</t>
        </is>
      </c>
      <c r="E128" s="4" t="inlineStr">
        <is>
          <t>yunlin/private-urban-land-readjustment.html</t>
        </is>
      </c>
    </row>
    <row r="129">
      <c r="A129" s="4" t="inlineStr">
        <is>
          <t>②雲林縣</t>
        </is>
      </c>
      <c r="B129" s="4" t="inlineStr">
        <is>
          <t>區段徵收（zone-expropriation.html）</t>
        </is>
      </c>
      <c r="C129" s="4" t="inlineStr">
        <is>
          <t>yunlin/zone-expropriation.html</t>
        </is>
      </c>
      <c r="D129" s="4" t="inlineStr">
        <is>
          <t>已存在</t>
        </is>
      </c>
      <c r="E129" s="4" t="inlineStr">
        <is>
          <t>yunlin/zone-expropriation.html</t>
        </is>
      </c>
    </row>
    <row r="130">
      <c r="A130" s="4" t="inlineStr">
        <is>
          <t>②雲林縣</t>
        </is>
      </c>
      <c r="B130" s="4" t="inlineStr">
        <is>
          <t>都市更新（urban-renewal.html）</t>
        </is>
      </c>
      <c r="C130" s="4" t="inlineStr">
        <is>
          <t>yunlin/urban-renewal.html</t>
        </is>
      </c>
      <c r="D130" s="4" t="inlineStr">
        <is>
          <t>已存在</t>
        </is>
      </c>
      <c r="E130" s="4" t="inlineStr">
        <is>
          <t>yunlin/urban-renewal.html</t>
        </is>
      </c>
    </row>
    <row r="131">
      <c r="A131" s="4" t="inlineStr">
        <is>
          <t>②嘉義市</t>
        </is>
      </c>
      <c r="B131" s="4" t="inlineStr">
        <is>
          <t>首頁（index.html）</t>
        </is>
      </c>
      <c r="C131" s="4" t="inlineStr">
        <is>
          <t>chiayi-city/index.html</t>
        </is>
      </c>
      <c r="D131" s="4" t="inlineStr">
        <is>
          <t>已存在</t>
        </is>
      </c>
      <c r="E131" s="4" t="inlineStr">
        <is>
          <t>chiayi-city/index.html</t>
        </is>
      </c>
    </row>
    <row r="132">
      <c r="A132" s="4" t="inlineStr">
        <is>
          <t>②嘉義市</t>
        </is>
      </c>
      <c r="B132" s="4" t="inlineStr">
        <is>
          <t>公辦市地重劃（public-urban-land-readjustment.html）</t>
        </is>
      </c>
      <c r="C132" s="4" t="inlineStr">
        <is>
          <t>chiayi-city/public-urban-land-readjustment.html</t>
        </is>
      </c>
      <c r="D132" s="4" t="inlineStr">
        <is>
          <t>已存在</t>
        </is>
      </c>
      <c r="E132" s="4" t="inlineStr">
        <is>
          <t>chiayi-city/public-urban-land-readjustment.html</t>
        </is>
      </c>
    </row>
    <row r="133">
      <c r="A133" s="4" t="inlineStr">
        <is>
          <t>②嘉義市</t>
        </is>
      </c>
      <c r="B133" s="4" t="inlineStr">
        <is>
          <t>自辦市地重劃（private-urban-land-readjustment.html）</t>
        </is>
      </c>
      <c r="C133" s="4" t="inlineStr">
        <is>
          <t>chiayi-city/private-urban-land-readjustment.html</t>
        </is>
      </c>
      <c r="D133" s="4" t="inlineStr">
        <is>
          <t>已存在</t>
        </is>
      </c>
      <c r="E133" s="4" t="inlineStr">
        <is>
          <t>chiayi-city/private-urban-land-readjustment.html</t>
        </is>
      </c>
    </row>
    <row r="134">
      <c r="A134" s="4" t="inlineStr">
        <is>
          <t>②嘉義市</t>
        </is>
      </c>
      <c r="B134" s="4" t="inlineStr">
        <is>
          <t>區段徵收（zone-expropriation.html）</t>
        </is>
      </c>
      <c r="C134" s="4" t="inlineStr">
        <is>
          <t>chiayi-city/zone-expropriation.html</t>
        </is>
      </c>
      <c r="D134" s="4" t="inlineStr">
        <is>
          <t>已存在</t>
        </is>
      </c>
      <c r="E134" s="4" t="inlineStr">
        <is>
          <t>chiayi-city/zone-expropriation.html</t>
        </is>
      </c>
    </row>
    <row r="135">
      <c r="A135" s="4" t="inlineStr">
        <is>
          <t>②嘉義市</t>
        </is>
      </c>
      <c r="B135" s="4" t="inlineStr">
        <is>
          <t>都市更新（urban-renewal.html）</t>
        </is>
      </c>
      <c r="C135" s="4" t="inlineStr">
        <is>
          <t>chiayi-city/urban-renewal.html</t>
        </is>
      </c>
      <c r="D135" s="4" t="inlineStr">
        <is>
          <t>已存在</t>
        </is>
      </c>
      <c r="E135" s="4" t="inlineStr">
        <is>
          <t>chiayi-city/urban-renewal.html</t>
        </is>
      </c>
    </row>
    <row r="136">
      <c r="A136" s="4" t="inlineStr">
        <is>
          <t>②嘉義縣</t>
        </is>
      </c>
      <c r="B136" s="4" t="inlineStr">
        <is>
          <t>首頁（index.html）</t>
        </is>
      </c>
      <c r="C136" s="4" t="inlineStr">
        <is>
          <t>chiayi-county/index.html</t>
        </is>
      </c>
      <c r="D136" s="4" t="inlineStr">
        <is>
          <t>已存在</t>
        </is>
      </c>
      <c r="E136" s="4" t="inlineStr">
        <is>
          <t>chiayi-county/index.html</t>
        </is>
      </c>
    </row>
    <row r="137">
      <c r="A137" s="4" t="inlineStr">
        <is>
          <t>②嘉義縣</t>
        </is>
      </c>
      <c r="B137" s="4" t="inlineStr">
        <is>
          <t>公辦市地重劃（public-urban-land-readjustment.html）</t>
        </is>
      </c>
      <c r="C137" s="4" t="inlineStr">
        <is>
          <t>chiayi-county/public-urban-land-readjustment.html</t>
        </is>
      </c>
      <c r="D137" s="4" t="inlineStr">
        <is>
          <t>已存在</t>
        </is>
      </c>
      <c r="E137" s="4" t="inlineStr">
        <is>
          <t>chiayi-county/public-urban-land-readjustment.html</t>
        </is>
      </c>
    </row>
    <row r="138">
      <c r="A138" s="4" t="inlineStr">
        <is>
          <t>②嘉義縣</t>
        </is>
      </c>
      <c r="B138" s="4" t="inlineStr">
        <is>
          <t>自辦市地重劃（private-urban-land-readjustment.html）</t>
        </is>
      </c>
      <c r="C138" s="4" t="inlineStr">
        <is>
          <t>chiayi-county/private-urban-land-readjustment.html</t>
        </is>
      </c>
      <c r="D138" s="4" t="inlineStr">
        <is>
          <t>已存在</t>
        </is>
      </c>
      <c r="E138" s="4" t="inlineStr">
        <is>
          <t>chiayi-county/private-urban-land-readjustment.html</t>
        </is>
      </c>
    </row>
    <row r="139">
      <c r="A139" s="4" t="inlineStr">
        <is>
          <t>②嘉義縣</t>
        </is>
      </c>
      <c r="B139" s="4" t="inlineStr">
        <is>
          <t>區段徵收（zone-expropriation.html）</t>
        </is>
      </c>
      <c r="C139" s="4" t="inlineStr">
        <is>
          <t>chiayi-county/zone-expropriation.html</t>
        </is>
      </c>
      <c r="D139" s="4" t="inlineStr">
        <is>
          <t>已存在</t>
        </is>
      </c>
      <c r="E139" s="4" t="inlineStr">
        <is>
          <t>chiayi-county/zone-expropriation.html</t>
        </is>
      </c>
    </row>
    <row r="140">
      <c r="A140" s="4" t="inlineStr">
        <is>
          <t>②嘉義縣</t>
        </is>
      </c>
      <c r="B140" s="4" t="inlineStr">
        <is>
          <t>都市更新（urban-renewal.html）</t>
        </is>
      </c>
      <c r="C140" s="4" t="inlineStr">
        <is>
          <t>chiayi-county/urban-renewal.html</t>
        </is>
      </c>
      <c r="D140" s="4" t="inlineStr">
        <is>
          <t>已存在</t>
        </is>
      </c>
      <c r="E140" s="4" t="inlineStr">
        <is>
          <t>chiayi-county/urban-renewal.html</t>
        </is>
      </c>
    </row>
    <row r="141">
      <c r="A141" s="4" t="inlineStr">
        <is>
          <t>②屏東縣</t>
        </is>
      </c>
      <c r="B141" s="4" t="inlineStr">
        <is>
          <t>首頁（index.html）</t>
        </is>
      </c>
      <c r="C141" s="4" t="inlineStr">
        <is>
          <t>pingtung/index.html</t>
        </is>
      </c>
      <c r="D141" s="4" t="inlineStr">
        <is>
          <t>已存在</t>
        </is>
      </c>
      <c r="E141" s="4" t="inlineStr">
        <is>
          <t>pingtung/index.html</t>
        </is>
      </c>
    </row>
    <row r="142">
      <c r="A142" s="4" t="inlineStr">
        <is>
          <t>②屏東縣</t>
        </is>
      </c>
      <c r="B142" s="4" t="inlineStr">
        <is>
          <t>公辦市地重劃（public-urban-land-readjustment.html）</t>
        </is>
      </c>
      <c r="C142" s="4" t="inlineStr">
        <is>
          <t>pingtung/public-urban-land-readjustment.html</t>
        </is>
      </c>
      <c r="D142" s="4" t="inlineStr">
        <is>
          <t>已存在</t>
        </is>
      </c>
      <c r="E142" s="4" t="inlineStr">
        <is>
          <t>pingtung/public-urban-land-readjustment.html</t>
        </is>
      </c>
    </row>
    <row r="143">
      <c r="A143" s="4" t="inlineStr">
        <is>
          <t>②屏東縣</t>
        </is>
      </c>
      <c r="B143" s="4" t="inlineStr">
        <is>
          <t>自辦市地重劃（private-urban-land-readjustment.html）</t>
        </is>
      </c>
      <c r="C143" s="4" t="inlineStr">
        <is>
          <t>pingtung/private-urban-land-readjustment.html</t>
        </is>
      </c>
      <c r="D143" s="4" t="inlineStr">
        <is>
          <t>已存在</t>
        </is>
      </c>
      <c r="E143" s="4" t="inlineStr">
        <is>
          <t>pingtung/private-urban-land-readjustment.html</t>
        </is>
      </c>
    </row>
    <row r="144">
      <c r="A144" s="4" t="inlineStr">
        <is>
          <t>②屏東縣</t>
        </is>
      </c>
      <c r="B144" s="4" t="inlineStr">
        <is>
          <t>區段徵收（zone-expropriation.html）</t>
        </is>
      </c>
      <c r="C144" s="4" t="inlineStr">
        <is>
          <t>pingtung/zone-expropriation.html</t>
        </is>
      </c>
      <c r="D144" s="4" t="inlineStr">
        <is>
          <t>已存在</t>
        </is>
      </c>
      <c r="E144" s="4" t="inlineStr">
        <is>
          <t>pingtung/zone-expropriation.html</t>
        </is>
      </c>
    </row>
    <row r="145">
      <c r="A145" s="4" t="inlineStr">
        <is>
          <t>②屏東縣</t>
        </is>
      </c>
      <c r="B145" s="4" t="inlineStr">
        <is>
          <t>都市更新（urban-renewal.html）</t>
        </is>
      </c>
      <c r="C145" s="4" t="inlineStr">
        <is>
          <t>pingtung/urban-renewal.html</t>
        </is>
      </c>
      <c r="D145" s="4" t="inlineStr">
        <is>
          <t>已存在</t>
        </is>
      </c>
      <c r="E145" s="4" t="inlineStr">
        <is>
          <t>pingtung/urban-renewal.html</t>
        </is>
      </c>
    </row>
    <row r="146">
      <c r="A146" s="4" t="inlineStr">
        <is>
          <t>②花蓮縣</t>
        </is>
      </c>
      <c r="B146" s="4" t="inlineStr">
        <is>
          <t>首頁（index.html）</t>
        </is>
      </c>
      <c r="C146" s="4" t="inlineStr">
        <is>
          <t>hualien/index.html</t>
        </is>
      </c>
      <c r="D146" s="4" t="inlineStr">
        <is>
          <t>已存在</t>
        </is>
      </c>
      <c r="E146" s="4" t="inlineStr">
        <is>
          <t>hualien/index.html</t>
        </is>
      </c>
    </row>
    <row r="147">
      <c r="A147" s="4" t="inlineStr">
        <is>
          <t>②花蓮縣</t>
        </is>
      </c>
      <c r="B147" s="4" t="inlineStr">
        <is>
          <t>公辦市地重劃（public-urban-land-readjustment.html）</t>
        </is>
      </c>
      <c r="C147" s="4" t="inlineStr">
        <is>
          <t>hualien/public-urban-land-readjustment.html</t>
        </is>
      </c>
      <c r="D147" s="4" t="inlineStr">
        <is>
          <t>已存在</t>
        </is>
      </c>
      <c r="E147" s="4" t="inlineStr">
        <is>
          <t>hualien/public-urban-land-readjustment.html</t>
        </is>
      </c>
    </row>
    <row r="148">
      <c r="A148" s="4" t="inlineStr">
        <is>
          <t>②花蓮縣</t>
        </is>
      </c>
      <c r="B148" s="4" t="inlineStr">
        <is>
          <t>自辦市地重劃（private-urban-land-readjustment.html）</t>
        </is>
      </c>
      <c r="C148" s="4" t="inlineStr">
        <is>
          <t>hualien/private-urban-land-readjustment.html</t>
        </is>
      </c>
      <c r="D148" s="4" t="inlineStr">
        <is>
          <t>已存在</t>
        </is>
      </c>
      <c r="E148" s="4" t="inlineStr">
        <is>
          <t>hualien/private-urban-land-readjustment.html</t>
        </is>
      </c>
    </row>
    <row r="149">
      <c r="A149" s="4" t="inlineStr">
        <is>
          <t>②花蓮縣</t>
        </is>
      </c>
      <c r="B149" s="4" t="inlineStr">
        <is>
          <t>區段徵收（zone-expropriation.html）</t>
        </is>
      </c>
      <c r="C149" s="4" t="inlineStr">
        <is>
          <t>hualien/zone-expropriation.html</t>
        </is>
      </c>
      <c r="D149" s="4" t="inlineStr">
        <is>
          <t>已存在</t>
        </is>
      </c>
      <c r="E149" s="4" t="inlineStr">
        <is>
          <t>hualien/zone-expropriation.html</t>
        </is>
      </c>
    </row>
    <row r="150">
      <c r="A150" s="4" t="inlineStr">
        <is>
          <t>②花蓮縣</t>
        </is>
      </c>
      <c r="B150" s="4" t="inlineStr">
        <is>
          <t>都市更新（urban-renewal.html）</t>
        </is>
      </c>
      <c r="C150" s="4" t="inlineStr">
        <is>
          <t>hualien/urban-renewal.html</t>
        </is>
      </c>
      <c r="D150" s="4" t="inlineStr">
        <is>
          <t>已存在</t>
        </is>
      </c>
      <c r="E150" s="4" t="inlineStr">
        <is>
          <t>hualien/urban-renewal.html</t>
        </is>
      </c>
    </row>
    <row r="151">
      <c r="A151" s="4" t="inlineStr">
        <is>
          <t>②臺東縣</t>
        </is>
      </c>
      <c r="B151" s="4" t="inlineStr">
        <is>
          <t>首頁（index.html）</t>
        </is>
      </c>
      <c r="C151" s="4" t="inlineStr">
        <is>
          <t>taitung/index.html</t>
        </is>
      </c>
      <c r="D151" s="4" t="inlineStr">
        <is>
          <t>已存在</t>
        </is>
      </c>
      <c r="E151" s="4" t="inlineStr">
        <is>
          <t>taitung/index.html</t>
        </is>
      </c>
    </row>
    <row r="152">
      <c r="A152" s="4" t="inlineStr">
        <is>
          <t>②臺東縣</t>
        </is>
      </c>
      <c r="B152" s="4" t="inlineStr">
        <is>
          <t>公辦市地重劃（public-urban-land-readjustment.html）</t>
        </is>
      </c>
      <c r="C152" s="4" t="inlineStr">
        <is>
          <t>taitung/public-urban-land-readjustment.html</t>
        </is>
      </c>
      <c r="D152" s="4" t="inlineStr">
        <is>
          <t>已存在</t>
        </is>
      </c>
      <c r="E152" s="4" t="inlineStr">
        <is>
          <t>taitung/public-urban-land-readjustment.html</t>
        </is>
      </c>
    </row>
    <row r="153">
      <c r="A153" s="4" t="inlineStr">
        <is>
          <t>②臺東縣</t>
        </is>
      </c>
      <c r="B153" s="4" t="inlineStr">
        <is>
          <t>自辦市地重劃（private-urban-land-readjustment.html）</t>
        </is>
      </c>
      <c r="C153" s="4" t="inlineStr">
        <is>
          <t>taitung/private-urban-land-readjustment.html</t>
        </is>
      </c>
      <c r="D153" s="4" t="inlineStr">
        <is>
          <t>已存在</t>
        </is>
      </c>
      <c r="E153" s="4" t="inlineStr">
        <is>
          <t>taitung/private-urban-land-readjustment.html</t>
        </is>
      </c>
    </row>
    <row r="154">
      <c r="A154" s="4" t="inlineStr">
        <is>
          <t>②臺東縣</t>
        </is>
      </c>
      <c r="B154" s="4" t="inlineStr">
        <is>
          <t>區段徵收（zone-expropriation.html）</t>
        </is>
      </c>
      <c r="C154" s="4" t="inlineStr">
        <is>
          <t>taitung/zone-expropriation.html</t>
        </is>
      </c>
      <c r="D154" s="4" t="inlineStr">
        <is>
          <t>已存在</t>
        </is>
      </c>
      <c r="E154" s="4" t="inlineStr">
        <is>
          <t>taitung/zone-expropriation.html</t>
        </is>
      </c>
    </row>
    <row r="155">
      <c r="A155" s="4" t="inlineStr">
        <is>
          <t>②臺東縣</t>
        </is>
      </c>
      <c r="B155" s="4" t="inlineStr">
        <is>
          <t>都市更新（urban-renewal.html）</t>
        </is>
      </c>
      <c r="C155" s="4" t="inlineStr">
        <is>
          <t>taitung/urban-renewal.html</t>
        </is>
      </c>
      <c r="D155" s="4" t="inlineStr">
        <is>
          <t>已存在</t>
        </is>
      </c>
      <c r="E155" s="4" t="inlineStr">
        <is>
          <t>taitung/urban-renewal.html</t>
        </is>
      </c>
    </row>
    <row r="156">
      <c r="A156" s="4" t="inlineStr">
        <is>
          <t>②澎湖縣</t>
        </is>
      </c>
      <c r="B156" s="4" t="inlineStr">
        <is>
          <t>首頁（index.html）</t>
        </is>
      </c>
      <c r="C156" s="4" t="inlineStr">
        <is>
          <t>penghu/index.html</t>
        </is>
      </c>
      <c r="D156" s="4" t="inlineStr">
        <is>
          <t>已存在</t>
        </is>
      </c>
      <c r="E156" s="4" t="inlineStr">
        <is>
          <t>penghu/index.html</t>
        </is>
      </c>
    </row>
    <row r="157">
      <c r="A157" s="4" t="inlineStr">
        <is>
          <t>②澎湖縣</t>
        </is>
      </c>
      <c r="B157" s="4" t="inlineStr">
        <is>
          <t>公辦市地重劃（public-urban-land-readjustment.html）</t>
        </is>
      </c>
      <c r="C157" s="4" t="inlineStr">
        <is>
          <t>penghu/public-urban-land-readjustment.html</t>
        </is>
      </c>
      <c r="D157" s="4" t="inlineStr">
        <is>
          <t>已存在</t>
        </is>
      </c>
      <c r="E157" s="4" t="inlineStr">
        <is>
          <t>penghu/public-urban-land-readjustment.html</t>
        </is>
      </c>
    </row>
    <row r="158">
      <c r="A158" s="4" t="inlineStr">
        <is>
          <t>②澎湖縣</t>
        </is>
      </c>
      <c r="B158" s="4" t="inlineStr">
        <is>
          <t>自辦市地重劃（private-urban-land-readjustment.html）</t>
        </is>
      </c>
      <c r="C158" s="4" t="inlineStr">
        <is>
          <t>penghu/private-urban-land-readjustment.html</t>
        </is>
      </c>
      <c r="D158" s="4" t="inlineStr">
        <is>
          <t>已存在</t>
        </is>
      </c>
      <c r="E158" s="4" t="inlineStr">
        <is>
          <t>penghu/private-urban-land-readjustment.html</t>
        </is>
      </c>
    </row>
    <row r="159">
      <c r="A159" s="4" t="inlineStr">
        <is>
          <t>②澎湖縣</t>
        </is>
      </c>
      <c r="B159" s="4" t="inlineStr">
        <is>
          <t>區段徵收（zone-expropriation.html）</t>
        </is>
      </c>
      <c r="C159" s="4" t="inlineStr">
        <is>
          <t>penghu/zone-expropriation.html</t>
        </is>
      </c>
      <c r="D159" s="4" t="inlineStr">
        <is>
          <t>已存在</t>
        </is>
      </c>
      <c r="E159" s="4" t="inlineStr">
        <is>
          <t>penghu/zone-expropriation.html</t>
        </is>
      </c>
    </row>
    <row r="160">
      <c r="A160" s="4" t="inlineStr">
        <is>
          <t>②澎湖縣</t>
        </is>
      </c>
      <c r="B160" s="4" t="inlineStr">
        <is>
          <t>都市更新（urban-renewal.html）</t>
        </is>
      </c>
      <c r="C160" s="4" t="inlineStr">
        <is>
          <t>penghu/urban-renewal.html</t>
        </is>
      </c>
      <c r="D160" s="4" t="inlineStr">
        <is>
          <t>已存在</t>
        </is>
      </c>
      <c r="E160" s="4" t="inlineStr">
        <is>
          <t>penghu/urban-renewal.html</t>
        </is>
      </c>
    </row>
    <row r="161">
      <c r="A161" s="4" t="inlineStr">
        <is>
          <t>②金門縣</t>
        </is>
      </c>
      <c r="B161" s="4" t="inlineStr">
        <is>
          <t>首頁（index.html）</t>
        </is>
      </c>
      <c r="C161" s="4" t="inlineStr">
        <is>
          <t>kinmen/index.html</t>
        </is>
      </c>
      <c r="D161" s="4" t="inlineStr">
        <is>
          <t>已存在</t>
        </is>
      </c>
      <c r="E161" s="4" t="inlineStr">
        <is>
          <t>kinmen/index.html</t>
        </is>
      </c>
    </row>
    <row r="162">
      <c r="A162" s="4" t="inlineStr">
        <is>
          <t>②金門縣</t>
        </is>
      </c>
      <c r="B162" s="4" t="inlineStr">
        <is>
          <t>公辦市地重劃（public-urban-land-readjustment.html）</t>
        </is>
      </c>
      <c r="C162" s="4" t="inlineStr">
        <is>
          <t>kinmen/public-urban-land-readjustment.html</t>
        </is>
      </c>
      <c r="D162" s="4" t="inlineStr">
        <is>
          <t>已存在</t>
        </is>
      </c>
      <c r="E162" s="4" t="inlineStr">
        <is>
          <t>kinmen/public-urban-land-readjustment.html</t>
        </is>
      </c>
    </row>
    <row r="163">
      <c r="A163" s="4" t="inlineStr">
        <is>
          <t>②金門縣</t>
        </is>
      </c>
      <c r="B163" s="4" t="inlineStr">
        <is>
          <t>自辦市地重劃（private-urban-land-readjustment.html）</t>
        </is>
      </c>
      <c r="C163" s="4" t="inlineStr">
        <is>
          <t>kinmen/private-urban-land-readjustment.html</t>
        </is>
      </c>
      <c r="D163" s="4" t="inlineStr">
        <is>
          <t>已存在</t>
        </is>
      </c>
      <c r="E163" s="4" t="inlineStr">
        <is>
          <t>kinmen/private-urban-land-readjustment.html</t>
        </is>
      </c>
    </row>
    <row r="164">
      <c r="A164" s="4" t="inlineStr">
        <is>
          <t>②金門縣</t>
        </is>
      </c>
      <c r="B164" s="4" t="inlineStr">
        <is>
          <t>區段徵收（zone-expropriation.html）</t>
        </is>
      </c>
      <c r="C164" s="4" t="inlineStr">
        <is>
          <t>kinmen/zone-expropriation.html</t>
        </is>
      </c>
      <c r="D164" s="4" t="inlineStr">
        <is>
          <t>已存在</t>
        </is>
      </c>
      <c r="E164" s="4" t="inlineStr">
        <is>
          <t>kinmen/zone-expropriation.html</t>
        </is>
      </c>
    </row>
    <row r="165">
      <c r="A165" s="4" t="inlineStr">
        <is>
          <t>②金門縣</t>
        </is>
      </c>
      <c r="B165" s="4" t="inlineStr">
        <is>
          <t>都市更新（urban-renewal.html）</t>
        </is>
      </c>
      <c r="C165" s="4" t="inlineStr">
        <is>
          <t>kinmen/urban-renewal.html</t>
        </is>
      </c>
      <c r="D165" s="4" t="inlineStr">
        <is>
          <t>已存在</t>
        </is>
      </c>
      <c r="E165" s="4" t="inlineStr">
        <is>
          <t>kinmen/urban-renewal.html</t>
        </is>
      </c>
    </row>
    <row r="166">
      <c r="A166" s="4" t="inlineStr">
        <is>
          <t>②連江縣</t>
        </is>
      </c>
      <c r="B166" s="4" t="inlineStr">
        <is>
          <t>首頁（index.html）</t>
        </is>
      </c>
      <c r="C166" s="4" t="inlineStr">
        <is>
          <t>lienchiang/index.html</t>
        </is>
      </c>
      <c r="D166" s="4" t="inlineStr">
        <is>
          <t>已存在</t>
        </is>
      </c>
      <c r="E166" s="4" t="inlineStr">
        <is>
          <t>lienchiang/index.html</t>
        </is>
      </c>
    </row>
    <row r="167">
      <c r="A167" s="4" t="inlineStr">
        <is>
          <t>②連江縣</t>
        </is>
      </c>
      <c r="B167" s="4" t="inlineStr">
        <is>
          <t>公辦市地重劃（public-urban-land-readjustment.html）</t>
        </is>
      </c>
      <c r="C167" s="4" t="inlineStr">
        <is>
          <t>lienchiang/public-urban-land-readjustment.html</t>
        </is>
      </c>
      <c r="D167" s="4" t="inlineStr">
        <is>
          <t>已存在</t>
        </is>
      </c>
      <c r="E167" s="4" t="inlineStr">
        <is>
          <t>lienchiang/public-urban-land-readjustment.html</t>
        </is>
      </c>
    </row>
    <row r="168">
      <c r="A168" s="4" t="inlineStr">
        <is>
          <t>②連江縣</t>
        </is>
      </c>
      <c r="B168" s="4" t="inlineStr">
        <is>
          <t>自辦市地重劃（private-urban-land-readjustment.html）</t>
        </is>
      </c>
      <c r="C168" s="4" t="inlineStr">
        <is>
          <t>lienchiang/private-urban-land-readjustment.html</t>
        </is>
      </c>
      <c r="D168" s="4" t="inlineStr">
        <is>
          <t>已存在</t>
        </is>
      </c>
      <c r="E168" s="4" t="inlineStr">
        <is>
          <t>lienchiang/private-urban-land-readjustment.html</t>
        </is>
      </c>
    </row>
    <row r="169">
      <c r="A169" s="4" t="inlineStr">
        <is>
          <t>②連江縣</t>
        </is>
      </c>
      <c r="B169" s="4" t="inlineStr">
        <is>
          <t>區段徵收（zone-expropriation.html）</t>
        </is>
      </c>
      <c r="C169" s="4" t="inlineStr">
        <is>
          <t>lienchiang/zone-expropriation.html</t>
        </is>
      </c>
      <c r="D169" s="4" t="inlineStr">
        <is>
          <t>已存在</t>
        </is>
      </c>
      <c r="E169" s="4" t="inlineStr">
        <is>
          <t>lienchiang/zone-expropriation.html</t>
        </is>
      </c>
    </row>
    <row r="170">
      <c r="A170" s="4" t="inlineStr">
        <is>
          <t>②連江縣</t>
        </is>
      </c>
      <c r="B170" s="4" t="inlineStr">
        <is>
          <t>都市更新（urban-renewal.html）</t>
        </is>
      </c>
      <c r="C170" s="4" t="inlineStr">
        <is>
          <t>lienchiang/urban-renewal.html</t>
        </is>
      </c>
      <c r="D170" s="4" t="inlineStr">
        <is>
          <t>已存在</t>
        </is>
      </c>
      <c r="E170" s="4" t="inlineStr">
        <is>
          <t>lienchiang/urban-renewal.html</t>
        </is>
      </c>
    </row>
    <row r="171">
      <c r="A171" s="2" t="inlineStr">
        <is>
          <t>③ 重劃區內頁（146 區，待產出）</t>
        </is>
      </c>
      <c r="B171" s="3" t="inlineStr"/>
      <c r="C171" s="3" t="inlineStr"/>
      <c r="D171" s="3" t="inlineStr"/>
      <c r="E171" s="3" t="inlineStr"/>
    </row>
    <row r="172">
      <c r="A172" s="4" t="inlineStr">
        <is>
          <t>③臺北市</t>
        </is>
      </c>
      <c r="B172" s="4" t="inlineStr">
        <is>
          <t>南港公辦重劃</t>
        </is>
      </c>
      <c r="C172" s="4" t="inlineStr">
        <is>
          <t>taipei/南港公辦重劃.html</t>
        </is>
      </c>
      <c r="D172" s="4" t="inlineStr">
        <is>
          <t>已存在</t>
        </is>
      </c>
      <c r="E172" s="4" t="inlineStr">
        <is>
          <t>taipei/南港公辦重劃.html</t>
        </is>
      </c>
    </row>
    <row r="173">
      <c r="A173" s="4" t="inlineStr">
        <is>
          <t>③臺北市</t>
        </is>
      </c>
      <c r="B173" s="4" t="inlineStr">
        <is>
          <t>內湖小型公辦重劃</t>
        </is>
      </c>
      <c r="C173" s="4" t="inlineStr">
        <is>
          <t>taipei/內湖小型公辦重劃.html</t>
        </is>
      </c>
      <c r="D173" s="4" t="inlineStr">
        <is>
          <t>已存在</t>
        </is>
      </c>
      <c r="E173" s="4" t="inlineStr">
        <is>
          <t>taipei/內湖小型公辦重劃.html</t>
        </is>
      </c>
    </row>
    <row r="174">
      <c r="A174" s="4" t="inlineStr">
        <is>
          <t>③臺北市</t>
        </is>
      </c>
      <c r="B174" s="4" t="inlineStr">
        <is>
          <t>零星小型自辦案</t>
        </is>
      </c>
      <c r="C174" s="4" t="inlineStr">
        <is>
          <t>taipei/零星小型自辦案.html</t>
        </is>
      </c>
      <c r="D174" s="4" t="inlineStr">
        <is>
          <t>已存在</t>
        </is>
      </c>
      <c r="E174" s="8" t="inlineStr">
        <is>
          <t>taipei/零星小型自辦案.html</t>
        </is>
      </c>
    </row>
    <row r="175">
      <c r="A175" s="4" t="inlineStr">
        <is>
          <t>③臺北市</t>
        </is>
      </c>
      <c r="B175" s="4" t="inlineStr">
        <is>
          <t>西門公辦都更</t>
        </is>
      </c>
      <c r="C175" s="4" t="inlineStr">
        <is>
          <t>taipei/西門公辦都更.html</t>
        </is>
      </c>
      <c r="D175" s="4" t="inlineStr">
        <is>
          <t>已存在</t>
        </is>
      </c>
      <c r="E175" s="8" t="inlineStr">
        <is>
          <t>taipei/西門公辦都更.html</t>
        </is>
      </c>
    </row>
    <row r="176">
      <c r="A176" s="4" t="inlineStr">
        <is>
          <t>③臺北市</t>
        </is>
      </c>
      <c r="B176" s="4" t="inlineStr">
        <is>
          <t>南港公辦都更</t>
        </is>
      </c>
      <c r="C176" s="4" t="inlineStr">
        <is>
          <t>taipei/南港公辦都更.html</t>
        </is>
      </c>
      <c r="D176" s="4" t="inlineStr">
        <is>
          <t>已存在</t>
        </is>
      </c>
      <c r="E176" s="8" t="inlineStr">
        <is>
          <t>taipei/南港公辦都更.html</t>
        </is>
      </c>
    </row>
    <row r="177">
      <c r="A177" s="4" t="inlineStr">
        <is>
          <t>③臺北市</t>
        </is>
      </c>
      <c r="B177" s="4" t="inlineStr">
        <is>
          <t>萬華公辦都更</t>
        </is>
      </c>
      <c r="C177" s="4" t="inlineStr">
        <is>
          <t>taipei/萬華公辦都更.html</t>
        </is>
      </c>
      <c r="D177" s="4" t="inlineStr">
        <is>
          <t>已存在</t>
        </is>
      </c>
      <c r="E177" s="8" t="inlineStr">
        <is>
          <t>taipei/萬華公辦都更.html</t>
        </is>
      </c>
    </row>
    <row r="178">
      <c r="A178" s="4" t="inlineStr">
        <is>
          <t>③新北市</t>
        </is>
      </c>
      <c r="B178" s="4" t="inlineStr">
        <is>
          <t>塭仔圳重劃</t>
        </is>
      </c>
      <c r="C178" s="4" t="inlineStr">
        <is>
          <t>new-taipei/塭仔圳重劃.html</t>
        </is>
      </c>
      <c r="D178" s="4" t="inlineStr">
        <is>
          <t>已存在</t>
        </is>
      </c>
      <c r="E178" s="8" t="inlineStr">
        <is>
          <t>new-taipei/塭仔圳重劃.html</t>
        </is>
      </c>
    </row>
    <row r="179">
      <c r="A179" s="4" t="inlineStr">
        <is>
          <t>③新北市</t>
        </is>
      </c>
      <c r="B179" s="4" t="inlineStr">
        <is>
          <t>土城暫緩發展區重劃</t>
        </is>
      </c>
      <c r="C179" s="4" t="inlineStr">
        <is>
          <t>new-taipei/土城暫緩發展區重劃.html</t>
        </is>
      </c>
      <c r="D179" s="4" t="inlineStr">
        <is>
          <t>已存在</t>
        </is>
      </c>
      <c r="E179" s="8" t="inlineStr">
        <is>
          <t>new-taipei/土城暫緩發展區重劃.html</t>
        </is>
      </c>
    </row>
    <row r="180">
      <c r="A180" s="4" t="inlineStr">
        <is>
          <t>③新北市</t>
        </is>
      </c>
      <c r="B180" s="4" t="inlineStr">
        <is>
          <t>板橋浮洲重劃</t>
        </is>
      </c>
      <c r="C180" s="4" t="inlineStr">
        <is>
          <t>new-taipei/板橋浮洲重劃.html</t>
        </is>
      </c>
      <c r="D180" s="4" t="inlineStr">
        <is>
          <t>已存在</t>
        </is>
      </c>
      <c r="E180" s="8" t="inlineStr">
        <is>
          <t>new-taipei/板橋浮洲重劃.html</t>
        </is>
      </c>
    </row>
    <row r="181">
      <c r="A181" s="4" t="inlineStr">
        <is>
          <t>③新北市</t>
        </is>
      </c>
      <c r="B181" s="4" t="inlineStr">
        <is>
          <t>其他中小型公辦案</t>
        </is>
      </c>
      <c r="C181" s="4" t="inlineStr">
        <is>
          <t>new-taipei/其他中小型公辦案.html</t>
        </is>
      </c>
      <c r="D181" s="4" t="inlineStr">
        <is>
          <t>已存在</t>
        </is>
      </c>
      <c r="E181" s="8" t="inlineStr">
        <is>
          <t>new-taipei/其他中小型公辦案.html</t>
        </is>
      </c>
    </row>
    <row r="182">
      <c r="A182" s="4" t="inlineStr">
        <is>
          <t>③新北市</t>
        </is>
      </c>
      <c r="B182" s="4" t="inlineStr">
        <is>
          <t>三峽自辦重劃群</t>
        </is>
      </c>
      <c r="C182" s="4" t="inlineStr">
        <is>
          <t>new-taipei/三峽自辦重劃群.html</t>
        </is>
      </c>
      <c r="D182" s="4" t="inlineStr">
        <is>
          <t>已存在</t>
        </is>
      </c>
      <c r="E182" s="8" t="inlineStr">
        <is>
          <t>new-taipei/三峽自辦重劃群.html</t>
        </is>
      </c>
    </row>
    <row r="183">
      <c r="A183" s="4" t="inlineStr">
        <is>
          <t>③新北市</t>
        </is>
      </c>
      <c r="B183" s="4" t="inlineStr">
        <is>
          <t>中和自辦重劃</t>
        </is>
      </c>
      <c r="C183" s="4" t="inlineStr">
        <is>
          <t>new-taipei/中和自辦重劃.html</t>
        </is>
      </c>
      <c r="D183" s="4" t="inlineStr">
        <is>
          <t>已存在</t>
        </is>
      </c>
      <c r="E183" s="8" t="inlineStr">
        <is>
          <t>new-taipei/中和自辦重劃.html</t>
        </is>
      </c>
    </row>
    <row r="184">
      <c r="A184" s="4" t="inlineStr">
        <is>
          <t>③新北市</t>
        </is>
      </c>
      <c r="B184" s="4" t="inlineStr">
        <is>
          <t>樹林自辦重劃</t>
        </is>
      </c>
      <c r="C184" s="4" t="inlineStr">
        <is>
          <t>new-taipei/樹林自辦重劃.html</t>
        </is>
      </c>
      <c r="D184" s="4" t="inlineStr">
        <is>
          <t>已存在</t>
        </is>
      </c>
      <c r="E184" s="8" t="inlineStr">
        <is>
          <t>new-taipei/樹林自辦重劃.html</t>
        </is>
      </c>
    </row>
    <row r="185">
      <c r="A185" s="4" t="inlineStr">
        <is>
          <t>③新北市</t>
        </is>
      </c>
      <c r="B185" s="4" t="inlineStr">
        <is>
          <t>林口新市鎮</t>
        </is>
      </c>
      <c r="C185" s="4" t="inlineStr">
        <is>
          <t>new-taipei/林口新市鎮.html</t>
        </is>
      </c>
      <c r="D185" s="4" t="inlineStr">
        <is>
          <t>已存在</t>
        </is>
      </c>
      <c r="E185" s="8" t="inlineStr">
        <is>
          <t>new-taipei/林口新市鎮.html</t>
        </is>
      </c>
    </row>
    <row r="186">
      <c r="A186" s="4" t="inlineStr">
        <is>
          <t>③新北市</t>
        </is>
      </c>
      <c r="B186" s="4" t="inlineStr">
        <is>
          <t>淡海新市鎮</t>
        </is>
      </c>
      <c r="C186" s="4" t="inlineStr">
        <is>
          <t>new-taipei/淡海新市鎮.html</t>
        </is>
      </c>
      <c r="D186" s="4" t="inlineStr">
        <is>
          <t>已存在</t>
        </is>
      </c>
      <c r="E186" s="8" t="inlineStr">
        <is>
          <t>new-taipei/淡海新市鎮.html</t>
        </is>
      </c>
    </row>
    <row r="187">
      <c r="A187" s="4" t="inlineStr">
        <is>
          <t>③新北市</t>
        </is>
      </c>
      <c r="B187" s="4" t="inlineStr">
        <is>
          <t>二重疏洪道區段徵收</t>
        </is>
      </c>
      <c r="C187" s="4" t="inlineStr">
        <is>
          <t>new-taipei/二重疏洪道區段徵收.html</t>
        </is>
      </c>
      <c r="D187" s="4" t="inlineStr">
        <is>
          <t>已存在</t>
        </is>
      </c>
      <c r="E187" s="8" t="inlineStr">
        <is>
          <t>new-taipei/二重疏洪道區段徵收.html</t>
        </is>
      </c>
    </row>
    <row r="188">
      <c r="A188" s="4" t="inlineStr">
        <is>
          <t>③新北市</t>
        </is>
      </c>
      <c r="B188" s="4" t="inlineStr">
        <is>
          <t>板橋舊市區公辦都更</t>
        </is>
      </c>
      <c r="C188" s="4" t="inlineStr">
        <is>
          <t>new-taipei/板橋舊市區公辦都更.html</t>
        </is>
      </c>
      <c r="D188" s="4" t="inlineStr">
        <is>
          <t>已存在</t>
        </is>
      </c>
      <c r="E188" s="8" t="inlineStr">
        <is>
          <t>new-taipei/板橋舊市區公辦都更.html</t>
        </is>
      </c>
    </row>
    <row r="189">
      <c r="A189" s="4" t="inlineStr">
        <is>
          <t>③桃園市</t>
        </is>
      </c>
      <c r="B189" s="4" t="inlineStr">
        <is>
          <t>八德擴大重劃</t>
        </is>
      </c>
      <c r="C189" s="4" t="inlineStr">
        <is>
          <t>taoyuan/八德擴大重劃.html</t>
        </is>
      </c>
      <c r="D189" s="4" t="inlineStr">
        <is>
          <t>已存在</t>
        </is>
      </c>
      <c r="E189" s="8" t="inlineStr">
        <is>
          <t>taoyuan/八德擴大重劃.html</t>
        </is>
      </c>
    </row>
    <row r="190">
      <c r="A190" s="4" t="inlineStr">
        <is>
          <t>③桃園市</t>
        </is>
      </c>
      <c r="B190" s="4" t="inlineStr">
        <is>
          <t>平鎮公辦重劃</t>
        </is>
      </c>
      <c r="C190" s="4" t="inlineStr">
        <is>
          <t>taoyuan/平鎮公辦重劃.html</t>
        </is>
      </c>
      <c r="D190" s="4" t="inlineStr">
        <is>
          <t>已存在</t>
        </is>
      </c>
      <c r="E190" s="8" t="inlineStr">
        <is>
          <t>taoyuan/平鎮公辦重劃.html</t>
        </is>
      </c>
    </row>
    <row r="191">
      <c r="A191" s="4" t="inlineStr">
        <is>
          <t>③桃園市</t>
        </is>
      </c>
      <c r="B191" s="4" t="inlineStr">
        <is>
          <t>楊梅公辦重劃</t>
        </is>
      </c>
      <c r="C191" s="4" t="inlineStr">
        <is>
          <t>taoyuan/楊梅公辦重劃.html</t>
        </is>
      </c>
      <c r="D191" s="4" t="inlineStr">
        <is>
          <t>已存在</t>
        </is>
      </c>
      <c r="E191" s="8" t="inlineStr">
        <is>
          <t>taoyuan/楊梅公辦重劃.html</t>
        </is>
      </c>
    </row>
    <row r="192">
      <c r="A192" s="4" t="inlineStr">
        <is>
          <t>③桃園市</t>
        </is>
      </c>
      <c r="B192" s="4" t="inlineStr">
        <is>
          <t>其他公辦案</t>
        </is>
      </c>
      <c r="C192" s="4" t="inlineStr">
        <is>
          <t>taoyuan/其他公辦案.html</t>
        </is>
      </c>
      <c r="D192" s="4" t="inlineStr">
        <is>
          <t>已存在</t>
        </is>
      </c>
      <c r="E192" s="8" t="inlineStr">
        <is>
          <t>taoyuan/其他公辦案.html</t>
        </is>
      </c>
    </row>
    <row r="193">
      <c r="A193" s="4" t="inlineStr">
        <is>
          <t>③桃園市</t>
        </is>
      </c>
      <c r="B193" s="4" t="inlineStr">
        <is>
          <t>中壢自辦重劃群</t>
        </is>
      </c>
      <c r="C193" s="4" t="inlineStr">
        <is>
          <t>taoyuan/中壢自辦重劃群.html</t>
        </is>
      </c>
      <c r="D193" s="4" t="inlineStr">
        <is>
          <t>已存在</t>
        </is>
      </c>
      <c r="E193" s="8" t="inlineStr">
        <is>
          <t>taoyuan/中壢自辦重劃群.html</t>
        </is>
      </c>
    </row>
    <row r="194">
      <c r="A194" s="4" t="inlineStr">
        <is>
          <t>③桃園市</t>
        </is>
      </c>
      <c r="B194" s="4" t="inlineStr">
        <is>
          <t>蘆竹自辦重劃</t>
        </is>
      </c>
      <c r="C194" s="4" t="inlineStr">
        <is>
          <t>taoyuan/蘆竹自辦重劃.html</t>
        </is>
      </c>
      <c r="D194" s="4" t="inlineStr">
        <is>
          <t>已存在</t>
        </is>
      </c>
      <c r="E194" s="8" t="inlineStr">
        <is>
          <t>taoyuan/蘆竹自辦重劃.html</t>
        </is>
      </c>
    </row>
    <row r="195">
      <c r="A195" s="4" t="inlineStr">
        <is>
          <t>③桃園市</t>
        </is>
      </c>
      <c r="B195" s="4" t="inlineStr">
        <is>
          <t>桃園航空城</t>
        </is>
      </c>
      <c r="C195" s="4" t="inlineStr">
        <is>
          <t>taoyuan/桃園航空城.html</t>
        </is>
      </c>
      <c r="D195" s="4" t="inlineStr">
        <is>
          <t>已存在</t>
        </is>
      </c>
      <c r="E195" s="8" t="inlineStr">
        <is>
          <t>taoyuan/桃園航空城.html</t>
        </is>
      </c>
    </row>
    <row r="196">
      <c r="A196" s="4" t="inlineStr">
        <is>
          <t>③桃園市</t>
        </is>
      </c>
      <c r="B196" s="4" t="inlineStr">
        <is>
          <t>青埔高鐵特區</t>
        </is>
      </c>
      <c r="C196" s="4" t="inlineStr">
        <is>
          <t>taoyuan/青埔高鐵特區.html</t>
        </is>
      </c>
      <c r="D196" s="4" t="inlineStr">
        <is>
          <t>已存在</t>
        </is>
      </c>
      <c r="E196" s="8" t="inlineStr">
        <is>
          <t>taoyuan/青埔高鐵特區.html</t>
        </is>
      </c>
    </row>
    <row r="197">
      <c r="A197" s="4" t="inlineStr">
        <is>
          <t>③桃園市</t>
        </is>
      </c>
      <c r="B197" s="4" t="inlineStr">
        <is>
          <t>中路區段徵收</t>
        </is>
      </c>
      <c r="C197" s="4" t="inlineStr">
        <is>
          <t>taoyuan/中路區段徵收.html</t>
        </is>
      </c>
      <c r="D197" s="4" t="inlineStr">
        <is>
          <t>已存在</t>
        </is>
      </c>
      <c r="E197" s="8" t="inlineStr">
        <is>
          <t>taoyuan/中路區段徵收.html</t>
        </is>
      </c>
    </row>
    <row r="198">
      <c r="A198" s="4" t="inlineStr">
        <is>
          <t>③桃園市</t>
        </is>
      </c>
      <c r="B198" s="4" t="inlineStr">
        <is>
          <t>大園區段徵收</t>
        </is>
      </c>
      <c r="C198" s="4" t="inlineStr">
        <is>
          <t>taoyuan/大園區段徵收.html</t>
        </is>
      </c>
      <c r="D198" s="4" t="inlineStr">
        <is>
          <t>已存在</t>
        </is>
      </c>
      <c r="E198" s="8" t="inlineStr">
        <is>
          <t>taoyuan/大園區段徵收.html</t>
        </is>
      </c>
    </row>
    <row r="199">
      <c r="A199" s="4" t="inlineStr">
        <is>
          <t>③桃園市</t>
        </is>
      </c>
      <c r="B199" s="4" t="inlineStr">
        <is>
          <t>舊市區零星都更</t>
        </is>
      </c>
      <c r="C199" s="4" t="inlineStr">
        <is>
          <t>taoyuan/舊市區零星都更.html</t>
        </is>
      </c>
      <c r="D199" s="4" t="inlineStr">
        <is>
          <t>已存在</t>
        </is>
      </c>
      <c r="E199" s="8" t="inlineStr">
        <is>
          <t>taoyuan/舊市區零星都更.html</t>
        </is>
      </c>
    </row>
    <row r="200">
      <c r="A200" s="4" t="inlineStr">
        <is>
          <t>③臺中市</t>
        </is>
      </c>
      <c r="B200" s="4" t="inlineStr">
        <is>
          <t>1期重劃</t>
        </is>
      </c>
      <c r="C200" s="4" t="inlineStr">
        <is>
          <t>taichung/1期重劃.html</t>
        </is>
      </c>
      <c r="D200" s="4" t="inlineStr">
        <is>
          <t>已存在</t>
        </is>
      </c>
      <c r="E200" s="8" t="inlineStr">
        <is>
          <t>taichung/1期重劃.html</t>
        </is>
      </c>
    </row>
    <row r="201">
      <c r="A201" s="4" t="inlineStr">
        <is>
          <t>③臺中市</t>
        </is>
      </c>
      <c r="B201" s="4" t="inlineStr">
        <is>
          <t>2期重劃</t>
        </is>
      </c>
      <c r="C201" s="4" t="inlineStr">
        <is>
          <t>taichung/2期重劃.html</t>
        </is>
      </c>
      <c r="D201" s="4" t="inlineStr">
        <is>
          <t>已存在</t>
        </is>
      </c>
      <c r="E201" s="8" t="inlineStr">
        <is>
          <t>taichung/2期重劃.html</t>
        </is>
      </c>
    </row>
    <row r="202">
      <c r="A202" s="4" t="inlineStr">
        <is>
          <t>③臺中市</t>
        </is>
      </c>
      <c r="B202" s="4" t="inlineStr">
        <is>
          <t>3期重劃</t>
        </is>
      </c>
      <c r="C202" s="4" t="inlineStr">
        <is>
          <t>taichung/3期重劃.html</t>
        </is>
      </c>
      <c r="D202" s="4" t="inlineStr">
        <is>
          <t>已存在</t>
        </is>
      </c>
      <c r="E202" s="8" t="inlineStr">
        <is>
          <t>taichung/3期重劃.html</t>
        </is>
      </c>
    </row>
    <row r="203">
      <c r="A203" s="4" t="inlineStr">
        <is>
          <t>③臺中市</t>
        </is>
      </c>
      <c r="B203" s="4" t="inlineStr">
        <is>
          <t>4期重劃</t>
        </is>
      </c>
      <c r="C203" s="4" t="inlineStr">
        <is>
          <t>taichung/4期重劃.html</t>
        </is>
      </c>
      <c r="D203" s="4" t="inlineStr">
        <is>
          <t>已存在</t>
        </is>
      </c>
      <c r="E203" s="8" t="inlineStr">
        <is>
          <t>taichung/4期重劃.html</t>
        </is>
      </c>
    </row>
    <row r="204">
      <c r="A204" s="4" t="inlineStr">
        <is>
          <t>③臺中市</t>
        </is>
      </c>
      <c r="B204" s="4" t="inlineStr">
        <is>
          <t>5期重劃</t>
        </is>
      </c>
      <c r="C204" s="4" t="inlineStr">
        <is>
          <t>taichung/5期重劃.html</t>
        </is>
      </c>
      <c r="D204" s="4" t="inlineStr">
        <is>
          <t>已存在</t>
        </is>
      </c>
      <c r="E204" s="8" t="inlineStr">
        <is>
          <t>taichung/5期重劃.html</t>
        </is>
      </c>
    </row>
    <row r="205">
      <c r="A205" s="4" t="inlineStr">
        <is>
          <t>③臺中市</t>
        </is>
      </c>
      <c r="B205" s="4" t="inlineStr">
        <is>
          <t>6期重劃</t>
        </is>
      </c>
      <c r="C205" s="4" t="inlineStr">
        <is>
          <t>taichung/6期重劃.html</t>
        </is>
      </c>
      <c r="D205" s="4" t="inlineStr">
        <is>
          <t>已存在</t>
        </is>
      </c>
      <c r="E205" s="8" t="inlineStr">
        <is>
          <t>taichung/6期重劃.html</t>
        </is>
      </c>
    </row>
    <row r="206">
      <c r="A206" s="4" t="inlineStr">
        <is>
          <t>③臺中市</t>
        </is>
      </c>
      <c r="B206" s="4" t="inlineStr">
        <is>
          <t>7期重劃</t>
        </is>
      </c>
      <c r="C206" s="4" t="inlineStr">
        <is>
          <t>taichung/7期重劃.html</t>
        </is>
      </c>
      <c r="D206" s="4" t="inlineStr">
        <is>
          <t>已存在</t>
        </is>
      </c>
      <c r="E206" s="8" t="inlineStr">
        <is>
          <t>taichung/7期重劃.html</t>
        </is>
      </c>
    </row>
    <row r="207">
      <c r="A207" s="4" t="inlineStr">
        <is>
          <t>③臺中市</t>
        </is>
      </c>
      <c r="B207" s="4" t="inlineStr">
        <is>
          <t>8期重劃</t>
        </is>
      </c>
      <c r="C207" s="4" t="inlineStr">
        <is>
          <t>taichung/8期重劃.html</t>
        </is>
      </c>
      <c r="D207" s="4" t="inlineStr">
        <is>
          <t>已存在</t>
        </is>
      </c>
      <c r="E207" s="8" t="inlineStr">
        <is>
          <t>taichung/8期重劃.html</t>
        </is>
      </c>
    </row>
    <row r="208">
      <c r="A208" s="4" t="inlineStr">
        <is>
          <t>③臺中市</t>
        </is>
      </c>
      <c r="B208" s="4" t="inlineStr">
        <is>
          <t>9期重劃</t>
        </is>
      </c>
      <c r="C208" s="4" t="inlineStr">
        <is>
          <t>taichung/9期重劃.html</t>
        </is>
      </c>
      <c r="D208" s="4" t="inlineStr">
        <is>
          <t>已存在</t>
        </is>
      </c>
      <c r="E208" s="8" t="inlineStr">
        <is>
          <t>taichung/9期重劃.html</t>
        </is>
      </c>
    </row>
    <row r="209">
      <c r="A209" s="4" t="inlineStr">
        <is>
          <t>③臺中市</t>
        </is>
      </c>
      <c r="B209" s="4" t="inlineStr">
        <is>
          <t>10期重劃</t>
        </is>
      </c>
      <c r="C209" s="4" t="inlineStr">
        <is>
          <t>taichung/10期重劃.html</t>
        </is>
      </c>
      <c r="D209" s="4" t="inlineStr">
        <is>
          <t>已存在</t>
        </is>
      </c>
      <c r="E209" s="8" t="inlineStr">
        <is>
          <t>taichung/10期重劃.html</t>
        </is>
      </c>
    </row>
    <row r="210">
      <c r="A210" s="4" t="inlineStr">
        <is>
          <t>③臺中市</t>
        </is>
      </c>
      <c r="B210" s="4" t="inlineStr">
        <is>
          <t>11期重劃</t>
        </is>
      </c>
      <c r="C210" s="4" t="inlineStr">
        <is>
          <t>taichung/11期重劃.html</t>
        </is>
      </c>
      <c r="D210" s="4" t="inlineStr">
        <is>
          <t>已存在</t>
        </is>
      </c>
      <c r="E210" s="8" t="inlineStr">
        <is>
          <t>taichung/11期重劃.html</t>
        </is>
      </c>
    </row>
    <row r="211">
      <c r="A211" s="4" t="inlineStr">
        <is>
          <t>③臺中市</t>
        </is>
      </c>
      <c r="B211" s="4" t="inlineStr">
        <is>
          <t>12期重劃</t>
        </is>
      </c>
      <c r="C211" s="4" t="inlineStr">
        <is>
          <t>taichung/12期重劃.html</t>
        </is>
      </c>
      <c r="D211" s="4" t="inlineStr">
        <is>
          <t>已存在</t>
        </is>
      </c>
      <c r="E211" s="8" t="inlineStr">
        <is>
          <t>taichung/12期重劃.html</t>
        </is>
      </c>
    </row>
    <row r="212">
      <c r="A212" s="4" t="inlineStr">
        <is>
          <t>③臺中市</t>
        </is>
      </c>
      <c r="B212" s="4" t="inlineStr">
        <is>
          <t>13期重劃</t>
        </is>
      </c>
      <c r="C212" s="4" t="inlineStr">
        <is>
          <t>taichung/13期重劃.html</t>
        </is>
      </c>
      <c r="D212" s="4" t="inlineStr">
        <is>
          <t>已存在</t>
        </is>
      </c>
      <c r="E212" s="8" t="inlineStr">
        <is>
          <t>taichung/13期重劃.html</t>
        </is>
      </c>
    </row>
    <row r="213">
      <c r="A213" s="4" t="inlineStr">
        <is>
          <t>③臺中市</t>
        </is>
      </c>
      <c r="B213" s="4" t="inlineStr">
        <is>
          <t>14期重劃</t>
        </is>
      </c>
      <c r="C213" s="4" t="inlineStr">
        <is>
          <t>taichung/14期重劃.html</t>
        </is>
      </c>
      <c r="D213" s="4" t="inlineStr">
        <is>
          <t>已存在</t>
        </is>
      </c>
      <c r="E213" s="8" t="inlineStr">
        <is>
          <t>taichung/14期重劃.html</t>
        </is>
      </c>
    </row>
    <row r="214">
      <c r="A214" s="4" t="inlineStr">
        <is>
          <t>③臺中市</t>
        </is>
      </c>
      <c r="B214" s="4" t="inlineStr">
        <is>
          <t>太平公辦重劃</t>
        </is>
      </c>
      <c r="C214" s="4" t="inlineStr">
        <is>
          <t>taichung/太平公辦重劃.html</t>
        </is>
      </c>
      <c r="D214" s="4" t="inlineStr">
        <is>
          <t>已存在</t>
        </is>
      </c>
      <c r="E214" s="8" t="inlineStr">
        <is>
          <t>taichung/太平公辦重劃.html</t>
        </is>
      </c>
    </row>
    <row r="215">
      <c r="A215" s="4" t="inlineStr">
        <is>
          <t>③臺中市</t>
        </is>
      </c>
      <c r="B215" s="4" t="inlineStr">
        <is>
          <t>烏日公辦重劃</t>
        </is>
      </c>
      <c r="C215" s="4" t="inlineStr">
        <is>
          <t>taichung/烏日公辦重劃.html</t>
        </is>
      </c>
      <c r="D215" s="4" t="inlineStr">
        <is>
          <t>已存在</t>
        </is>
      </c>
      <c r="E215" s="8" t="inlineStr">
        <is>
          <t>taichung/烏日公辦重劃.html</t>
        </is>
      </c>
    </row>
    <row r="216">
      <c r="A216" s="4" t="inlineStr">
        <is>
          <t>③臺中市</t>
        </is>
      </c>
      <c r="B216" s="4" t="inlineStr">
        <is>
          <t>霧峰公辦重劃</t>
        </is>
      </c>
      <c r="C216" s="4" t="inlineStr">
        <is>
          <t>taichung/霧峰公辦重劃.html</t>
        </is>
      </c>
      <c r="D216" s="4" t="inlineStr">
        <is>
          <t>已存在</t>
        </is>
      </c>
      <c r="E216" s="8" t="inlineStr">
        <is>
          <t>taichung/霧峰公辦重劃.html</t>
        </is>
      </c>
    </row>
    <row r="217">
      <c r="A217" s="4" t="inlineStr">
        <is>
          <t>③臺中市</t>
        </is>
      </c>
      <c r="B217" s="4" t="inlineStr">
        <is>
          <t>沙鹿公辦重劃</t>
        </is>
      </c>
      <c r="C217" s="4" t="inlineStr">
        <is>
          <t>taichung/沙鹿公辦重劃.html</t>
        </is>
      </c>
      <c r="D217" s="4" t="inlineStr">
        <is>
          <t>已存在</t>
        </is>
      </c>
      <c r="E217" s="8" t="inlineStr">
        <is>
          <t>taichung/沙鹿公辦重劃.html</t>
        </is>
      </c>
    </row>
    <row r="218">
      <c r="A218" s="4" t="inlineStr">
        <is>
          <t>③臺中市</t>
        </is>
      </c>
      <c r="B218" s="4" t="inlineStr">
        <is>
          <t>豐原公辦重劃</t>
        </is>
      </c>
      <c r="C218" s="4" t="inlineStr">
        <is>
          <t>taichung/豐原公辦重劃.html</t>
        </is>
      </c>
      <c r="D218" s="4" t="inlineStr">
        <is>
          <t>已存在</t>
        </is>
      </c>
      <c r="E218" s="8" t="inlineStr">
        <is>
          <t>taichung/豐原公辦重劃.html</t>
        </is>
      </c>
    </row>
    <row r="219">
      <c r="A219" s="4" t="inlineStr">
        <is>
          <t>③臺中市</t>
        </is>
      </c>
      <c r="B219" s="4" t="inlineStr">
        <is>
          <t>大里自辦重劃</t>
        </is>
      </c>
      <c r="C219" s="4" t="inlineStr">
        <is>
          <t>taichung/大里自辦重劃.html</t>
        </is>
      </c>
      <c r="D219" s="4" t="inlineStr">
        <is>
          <t>已存在</t>
        </is>
      </c>
      <c r="E219" s="8" t="inlineStr">
        <is>
          <t>taichung/大里自辦重劃.html</t>
        </is>
      </c>
    </row>
    <row r="220">
      <c r="A220" s="4" t="inlineStr">
        <is>
          <t>③臺中市</t>
        </is>
      </c>
      <c r="B220" s="4" t="inlineStr">
        <is>
          <t>大雅自辦重劃</t>
        </is>
      </c>
      <c r="C220" s="4" t="inlineStr">
        <is>
          <t>taichung/大雅自辦重劃.html</t>
        </is>
      </c>
      <c r="D220" s="4" t="inlineStr">
        <is>
          <t>已存在</t>
        </is>
      </c>
      <c r="E220" s="8" t="inlineStr">
        <is>
          <t>taichung/大雅自辦重劃.html</t>
        </is>
      </c>
    </row>
    <row r="221">
      <c r="A221" s="4" t="inlineStr">
        <is>
          <t>③臺中市</t>
        </is>
      </c>
      <c r="B221" s="4" t="inlineStr">
        <is>
          <t>其他鄉鎮自辦案</t>
        </is>
      </c>
      <c r="C221" s="4" t="inlineStr">
        <is>
          <t>taichung/其他鄉鎮自辦案.html</t>
        </is>
      </c>
      <c r="D221" s="4" t="inlineStr">
        <is>
          <t>已存在</t>
        </is>
      </c>
      <c r="E221" s="8" t="inlineStr">
        <is>
          <t>taichung/其他鄉鎮自辦案.html</t>
        </is>
      </c>
    </row>
    <row r="222">
      <c r="A222" s="4" t="inlineStr">
        <is>
          <t>③臺中市</t>
        </is>
      </c>
      <c r="B222" s="4" t="inlineStr">
        <is>
          <t>水湳智慧城（區段徵收）</t>
        </is>
      </c>
      <c r="C222" s="4" t="inlineStr">
        <is>
          <t>taichung/水湳智慧城（區段徵收）.html</t>
        </is>
      </c>
      <c r="D222" s="4" t="inlineStr">
        <is>
          <t>已存在</t>
        </is>
      </c>
      <c r="E222" s="8" t="inlineStr">
        <is>
          <t>taichung/水湳智慧城（區段徵收）.html</t>
        </is>
      </c>
    </row>
    <row r="223">
      <c r="A223" s="4" t="inlineStr">
        <is>
          <t>③臺中市</t>
        </is>
      </c>
      <c r="B223" s="4" t="inlineStr">
        <is>
          <t>舊市區零星都更</t>
        </is>
      </c>
      <c r="C223" s="4" t="inlineStr">
        <is>
          <t>taichung/舊市區零星都更.html</t>
        </is>
      </c>
      <c r="D223" s="4" t="inlineStr">
        <is>
          <t>已存在</t>
        </is>
      </c>
      <c r="E223" s="8" t="inlineStr">
        <is>
          <t>taichung/舊市區零星都更.html</t>
        </is>
      </c>
    </row>
    <row r="224">
      <c r="A224" s="4" t="inlineStr">
        <is>
          <t>③臺南市</t>
        </is>
      </c>
      <c r="B224" s="4" t="inlineStr">
        <is>
          <t>東區重劃</t>
        </is>
      </c>
      <c r="C224" s="4" t="inlineStr">
        <is>
          <t>tainan/東區重劃.html</t>
        </is>
      </c>
      <c r="D224" s="4" t="inlineStr">
        <is>
          <t>已存在</t>
        </is>
      </c>
      <c r="E224" s="8" t="inlineStr">
        <is>
          <t>tainan/東區重劃.html</t>
        </is>
      </c>
    </row>
    <row r="225">
      <c r="A225" s="4" t="inlineStr">
        <is>
          <t>③臺南市</t>
        </is>
      </c>
      <c r="B225" s="4" t="inlineStr">
        <is>
          <t>永康公辦重劃</t>
        </is>
      </c>
      <c r="C225" s="4" t="inlineStr">
        <is>
          <t>tainan/永康公辦重劃.html</t>
        </is>
      </c>
      <c r="D225" s="4" t="inlineStr">
        <is>
          <t>已存在</t>
        </is>
      </c>
      <c r="E225" s="8" t="inlineStr">
        <is>
          <t>tainan/永康公辦重劃.html</t>
        </is>
      </c>
    </row>
    <row r="226">
      <c r="A226" s="4" t="inlineStr">
        <is>
          <t>③臺南市</t>
        </is>
      </c>
      <c r="B226" s="4" t="inlineStr">
        <is>
          <t>歸仁公辦重劃</t>
        </is>
      </c>
      <c r="C226" s="4" t="inlineStr">
        <is>
          <t>tainan/歸仁公辦重劃.html</t>
        </is>
      </c>
      <c r="D226" s="4" t="inlineStr">
        <is>
          <t>已存在</t>
        </is>
      </c>
      <c r="E226" s="8" t="inlineStr">
        <is>
          <t>tainan/歸仁公辦重劃.html</t>
        </is>
      </c>
    </row>
    <row r="227">
      <c r="A227" s="4" t="inlineStr">
        <is>
          <t>③臺南市</t>
        </is>
      </c>
      <c r="B227" s="4" t="inlineStr">
        <is>
          <t>仁德公辦重劃</t>
        </is>
      </c>
      <c r="C227" s="4" t="inlineStr">
        <is>
          <t>tainan/仁德公辦重劃.html</t>
        </is>
      </c>
      <c r="D227" s="4" t="inlineStr">
        <is>
          <t>已存在</t>
        </is>
      </c>
      <c r="E227" s="8" t="inlineStr">
        <is>
          <t>tainan/仁德公辦重劃.html</t>
        </is>
      </c>
    </row>
    <row r="228">
      <c r="A228" s="4" t="inlineStr">
        <is>
          <t>③臺南市</t>
        </is>
      </c>
      <c r="B228" s="4" t="inlineStr">
        <is>
          <t>其他公辦案</t>
        </is>
      </c>
      <c r="C228" s="4" t="inlineStr">
        <is>
          <t>tainan/其他公辦案.html</t>
        </is>
      </c>
      <c r="D228" s="4" t="inlineStr">
        <is>
          <t>已存在</t>
        </is>
      </c>
      <c r="E228" s="8" t="inlineStr">
        <is>
          <t>tainan/其他公辦案.html</t>
        </is>
      </c>
    </row>
    <row r="229">
      <c r="A229" s="4" t="inlineStr">
        <is>
          <t>③臺南市</t>
        </is>
      </c>
      <c r="B229" s="4" t="inlineStr">
        <is>
          <t>安南自辦重劃群</t>
        </is>
      </c>
      <c r="C229" s="4" t="inlineStr">
        <is>
          <t>tainan/安南自辦重劃群.html</t>
        </is>
      </c>
      <c r="D229" s="4" t="inlineStr">
        <is>
          <t>已存在</t>
        </is>
      </c>
      <c r="E229" s="8" t="inlineStr">
        <is>
          <t>tainan/安南自辦重劃群.html</t>
        </is>
      </c>
    </row>
    <row r="230">
      <c r="A230" s="4" t="inlineStr">
        <is>
          <t>③臺南市</t>
        </is>
      </c>
      <c r="B230" s="4" t="inlineStr">
        <is>
          <t>其他鄉鎮自辦案</t>
        </is>
      </c>
      <c r="C230" s="4" t="inlineStr">
        <is>
          <t>tainan/其他鄉鎮自辦案.html</t>
        </is>
      </c>
      <c r="D230" s="4" t="inlineStr">
        <is>
          <t>已存在</t>
        </is>
      </c>
      <c r="E230" s="8" t="inlineStr">
        <is>
          <t>tainan/其他鄉鎮自辦案.html</t>
        </is>
      </c>
    </row>
    <row r="231">
      <c r="A231" s="4" t="inlineStr">
        <is>
          <t>③臺南市</t>
        </is>
      </c>
      <c r="B231" s="4" t="inlineStr">
        <is>
          <t>九份子特區</t>
        </is>
      </c>
      <c r="C231" s="4" t="inlineStr">
        <is>
          <t>tainan/九份子特區.html</t>
        </is>
      </c>
      <c r="D231" s="4" t="inlineStr">
        <is>
          <t>已存在</t>
        </is>
      </c>
      <c r="E231" s="8" t="inlineStr">
        <is>
          <t>tainan/九份子特區.html</t>
        </is>
      </c>
    </row>
    <row r="232">
      <c r="A232" s="4" t="inlineStr">
        <is>
          <t>③臺南市</t>
        </is>
      </c>
      <c r="B232" s="4" t="inlineStr">
        <is>
          <t>南科特定區</t>
        </is>
      </c>
      <c r="C232" s="4" t="inlineStr">
        <is>
          <t>tainan/南科特定區.html</t>
        </is>
      </c>
      <c r="D232" s="4" t="inlineStr">
        <is>
          <t>已存在</t>
        </is>
      </c>
      <c r="E232" s="8" t="inlineStr">
        <is>
          <t>tainan/南科特定區.html</t>
        </is>
      </c>
    </row>
    <row r="233">
      <c r="A233" s="4" t="inlineStr">
        <is>
          <t>③臺南市</t>
        </is>
      </c>
      <c r="B233" s="4" t="inlineStr">
        <is>
          <t>善化區段徵收</t>
        </is>
      </c>
      <c r="C233" s="4" t="inlineStr">
        <is>
          <t>tainan/善化區段徵收.html</t>
        </is>
      </c>
      <c r="D233" s="4" t="inlineStr">
        <is>
          <t>已存在</t>
        </is>
      </c>
      <c r="E233" s="8" t="inlineStr">
        <is>
          <t>tainan/善化區段徵收.html</t>
        </is>
      </c>
    </row>
    <row r="234">
      <c r="A234" s="4" t="inlineStr">
        <is>
          <t>③臺南市</t>
        </is>
      </c>
      <c r="B234" s="4" t="inlineStr">
        <is>
          <t>舊市區零星都更</t>
        </is>
      </c>
      <c r="C234" s="4" t="inlineStr">
        <is>
          <t>tainan/舊市區零星都更.html</t>
        </is>
      </c>
      <c r="D234" s="4" t="inlineStr">
        <is>
          <t>已存在</t>
        </is>
      </c>
      <c r="E234" s="8" t="inlineStr">
        <is>
          <t>tainan/舊市區零星都更.html</t>
        </is>
      </c>
    </row>
    <row r="235">
      <c r="A235" s="4" t="inlineStr">
        <is>
          <t>③高雄市</t>
        </is>
      </c>
      <c r="B235" s="4" t="inlineStr">
        <is>
          <t>鳳山公辦重劃</t>
        </is>
      </c>
      <c r="C235" s="4" t="inlineStr">
        <is>
          <t>kaohsiung/鳳山公辦重劃.html</t>
        </is>
      </c>
      <c r="D235" s="4" t="inlineStr">
        <is>
          <t>已存在</t>
        </is>
      </c>
      <c r="E235" s="8" t="inlineStr">
        <is>
          <t>kaohsiung/鳳山公辦重劃.html</t>
        </is>
      </c>
    </row>
    <row r="236">
      <c r="A236" s="4" t="inlineStr">
        <is>
          <t>③高雄市</t>
        </is>
      </c>
      <c r="B236" s="4" t="inlineStr">
        <is>
          <t>岡山公辦重劃</t>
        </is>
      </c>
      <c r="C236" s="4" t="inlineStr">
        <is>
          <t>kaohsiung/岡山公辦重劃.html</t>
        </is>
      </c>
      <c r="D236" s="4" t="inlineStr">
        <is>
          <t>已存在</t>
        </is>
      </c>
      <c r="E236" s="8" t="inlineStr">
        <is>
          <t>kaohsiung/岡山公辦重劃.html</t>
        </is>
      </c>
    </row>
    <row r="237">
      <c r="A237" s="4" t="inlineStr">
        <is>
          <t>③高雄市</t>
        </is>
      </c>
      <c r="B237" s="4" t="inlineStr">
        <is>
          <t>大寮公辦重劃</t>
        </is>
      </c>
      <c r="C237" s="4" t="inlineStr">
        <is>
          <t>kaohsiung/大寮公辦重劃.html</t>
        </is>
      </c>
      <c r="D237" s="4" t="inlineStr">
        <is>
          <t>已存在</t>
        </is>
      </c>
      <c r="E237" s="8" t="inlineStr">
        <is>
          <t>kaohsiung/大寮公辦重劃.html</t>
        </is>
      </c>
    </row>
    <row r="238">
      <c r="A238" s="4" t="inlineStr">
        <is>
          <t>③高雄市</t>
        </is>
      </c>
      <c r="B238" s="4" t="inlineStr">
        <is>
          <t>路竹公辦重劃</t>
        </is>
      </c>
      <c r="C238" s="4" t="inlineStr">
        <is>
          <t>kaohsiung/路竹公辦重劃.html</t>
        </is>
      </c>
      <c r="D238" s="4" t="inlineStr">
        <is>
          <t>已存在</t>
        </is>
      </c>
      <c r="E238" s="8" t="inlineStr">
        <is>
          <t>kaohsiung/路竹公辦重劃.html</t>
        </is>
      </c>
    </row>
    <row r="239">
      <c r="A239" s="4" t="inlineStr">
        <is>
          <t>③高雄市</t>
        </is>
      </c>
      <c r="B239" s="4" t="inlineStr">
        <is>
          <t>其他公辦案</t>
        </is>
      </c>
      <c r="C239" s="4" t="inlineStr">
        <is>
          <t>kaohsiung/其他公辦案.html</t>
        </is>
      </c>
      <c r="D239" s="4" t="inlineStr">
        <is>
          <t>已存在</t>
        </is>
      </c>
      <c r="E239" s="8" t="inlineStr">
        <is>
          <t>kaohsiung/其他公辦案.html</t>
        </is>
      </c>
    </row>
    <row r="240">
      <c r="A240" s="4" t="inlineStr">
        <is>
          <t>③高雄市</t>
        </is>
      </c>
      <c r="B240" s="4" t="inlineStr">
        <is>
          <t>梓官自辦重劃</t>
        </is>
      </c>
      <c r="C240" s="4" t="inlineStr">
        <is>
          <t>kaohsiung/梓官自辦重劃.html</t>
        </is>
      </c>
      <c r="D240" s="4" t="inlineStr">
        <is>
          <t>已存在</t>
        </is>
      </c>
      <c r="E240" s="8" t="inlineStr">
        <is>
          <t>kaohsiung/梓官自辦重劃.html</t>
        </is>
      </c>
    </row>
    <row r="241">
      <c r="A241" s="4" t="inlineStr">
        <is>
          <t>③高雄市</t>
        </is>
      </c>
      <c r="B241" s="4" t="inlineStr">
        <is>
          <t>彌陀自辦重劃</t>
        </is>
      </c>
      <c r="C241" s="4" t="inlineStr">
        <is>
          <t>kaohsiung/彌陀自辦重劃.html</t>
        </is>
      </c>
      <c r="D241" s="4" t="inlineStr">
        <is>
          <t>已存在</t>
        </is>
      </c>
      <c r="E241" s="8" t="inlineStr">
        <is>
          <t>kaohsiung/彌陀自辦重劃.html</t>
        </is>
      </c>
    </row>
    <row r="242">
      <c r="A242" s="4" t="inlineStr">
        <is>
          <t>③高雄市</t>
        </is>
      </c>
      <c r="B242" s="4" t="inlineStr">
        <is>
          <t>其他鄉鎮自辦案</t>
        </is>
      </c>
      <c r="C242" s="4" t="inlineStr">
        <is>
          <t>kaohsiung/其他鄉鎮自辦案.html</t>
        </is>
      </c>
      <c r="D242" s="4" t="inlineStr">
        <is>
          <t>已存在</t>
        </is>
      </c>
      <c r="E242" s="8" t="inlineStr">
        <is>
          <t>kaohsiung/其他鄉鎮自辦案.html</t>
        </is>
      </c>
    </row>
    <row r="243">
      <c r="A243" s="4" t="inlineStr">
        <is>
          <t>③高雄市</t>
        </is>
      </c>
      <c r="B243" s="4" t="inlineStr">
        <is>
          <t>農16特區</t>
        </is>
      </c>
      <c r="C243" s="4" t="inlineStr">
        <is>
          <t>kaohsiung/農16特區.html</t>
        </is>
      </c>
      <c r="D243" s="4" t="inlineStr">
        <is>
          <t>已存在</t>
        </is>
      </c>
      <c r="E243" s="8" t="inlineStr">
        <is>
          <t>kaohsiung/農16特區.html</t>
        </is>
      </c>
    </row>
    <row r="244">
      <c r="A244" s="4" t="inlineStr">
        <is>
          <t>③高雄市</t>
        </is>
      </c>
      <c r="B244" s="4" t="inlineStr">
        <is>
          <t>亞洲新灣區</t>
        </is>
      </c>
      <c r="C244" s="4" t="inlineStr">
        <is>
          <t>kaohsiung/亞洲新灣區.html</t>
        </is>
      </c>
      <c r="D244" s="4" t="inlineStr">
        <is>
          <t>已存在</t>
        </is>
      </c>
      <c r="E244" s="8" t="inlineStr">
        <is>
          <t>kaohsiung/亞洲新灣區.html</t>
        </is>
      </c>
    </row>
    <row r="245">
      <c r="A245" s="4" t="inlineStr">
        <is>
          <t>③高雄市</t>
        </is>
      </c>
      <c r="B245" s="4" t="inlineStr">
        <is>
          <t>仁武區段徵收</t>
        </is>
      </c>
      <c r="C245" s="4" t="inlineStr">
        <is>
          <t>kaohsiung/仁武區段徵收.html</t>
        </is>
      </c>
      <c r="D245" s="4" t="inlineStr">
        <is>
          <t>已存在</t>
        </is>
      </c>
      <c r="E245" s="8" t="inlineStr">
        <is>
          <t>kaohsiung/仁武區段徵收.html</t>
        </is>
      </c>
    </row>
    <row r="246">
      <c r="A246" s="4" t="inlineStr">
        <is>
          <t>③高雄市</t>
        </is>
      </c>
      <c r="B246" s="4" t="inlineStr">
        <is>
          <t>岡山區段徵收</t>
        </is>
      </c>
      <c r="C246" s="4" t="inlineStr">
        <is>
          <t>kaohsiung/岡山區段徵收.html</t>
        </is>
      </c>
      <c r="D246" s="4" t="inlineStr">
        <is>
          <t>已存在</t>
        </is>
      </c>
      <c r="E246" s="8" t="inlineStr">
        <is>
          <t>kaohsiung/岡山區段徵收.html</t>
        </is>
      </c>
    </row>
    <row r="247">
      <c r="A247" s="4" t="inlineStr">
        <is>
          <t>③高雄市</t>
        </is>
      </c>
      <c r="B247" s="4" t="inlineStr">
        <is>
          <t>橋頭科學園區段徵收</t>
        </is>
      </c>
      <c r="C247" s="4" t="inlineStr">
        <is>
          <t>kaohsiung/橋頭科學園區段徵收.html</t>
        </is>
      </c>
      <c r="D247" s="4" t="inlineStr">
        <is>
          <t>已存在</t>
        </is>
      </c>
      <c r="E247" s="8" t="inlineStr">
        <is>
          <t>kaohsiung/橋頭科學園區段徵收.html</t>
        </is>
      </c>
    </row>
    <row r="248">
      <c r="A248" s="4" t="inlineStr">
        <is>
          <t>③高雄市</t>
        </is>
      </c>
      <c r="B248" s="4" t="inlineStr">
        <is>
          <t>舊市區零星都更</t>
        </is>
      </c>
      <c r="C248" s="4" t="inlineStr">
        <is>
          <t>kaohsiung/舊市區零星都更.html</t>
        </is>
      </c>
      <c r="D248" s="4" t="inlineStr">
        <is>
          <t>已存在</t>
        </is>
      </c>
      <c r="E248" s="8" t="inlineStr">
        <is>
          <t>kaohsiung/舊市區零星都更.html</t>
        </is>
      </c>
    </row>
    <row r="249">
      <c r="A249" s="4" t="inlineStr">
        <is>
          <t>③基隆市</t>
        </is>
      </c>
      <c r="B249" s="4" t="inlineStr">
        <is>
          <t>市區小型公辦案</t>
        </is>
      </c>
      <c r="C249" s="4" t="inlineStr">
        <is>
          <t>keelung/市區小型公辦案.html</t>
        </is>
      </c>
      <c r="D249" s="4" t="inlineStr">
        <is>
          <t>已存在</t>
        </is>
      </c>
      <c r="E249" s="8" t="inlineStr">
        <is>
          <t>keelung/市區小型公辦案.html</t>
        </is>
      </c>
    </row>
    <row r="250">
      <c r="A250" s="4" t="inlineStr">
        <is>
          <t>③基隆市</t>
        </is>
      </c>
      <c r="B250" s="4" t="inlineStr">
        <is>
          <t>市區小型自辦重劃</t>
        </is>
      </c>
      <c r="C250" s="4" t="inlineStr">
        <is>
          <t>keelung/市區小型自辦重劃.html</t>
        </is>
      </c>
      <c r="D250" s="4" t="inlineStr">
        <is>
          <t>已存在</t>
        </is>
      </c>
      <c r="E250" s="8" t="inlineStr">
        <is>
          <t>keelung/市區小型自辦重劃.html</t>
        </is>
      </c>
    </row>
    <row r="251">
      <c r="A251" s="4" t="inlineStr">
        <is>
          <t>③基隆市</t>
        </is>
      </c>
      <c r="B251" s="4" t="inlineStr">
        <is>
          <t>基隆港周邊都更</t>
        </is>
      </c>
      <c r="C251" s="4" t="inlineStr">
        <is>
          <t>keelung/基隆港周邊都更.html</t>
        </is>
      </c>
      <c r="D251" s="4" t="inlineStr">
        <is>
          <t>已存在</t>
        </is>
      </c>
      <c r="E251" s="8" t="inlineStr">
        <is>
          <t>keelung/基隆港周邊都更.html</t>
        </is>
      </c>
    </row>
    <row r="252">
      <c r="A252" s="4" t="inlineStr">
        <is>
          <t>③新竹市</t>
        </is>
      </c>
      <c r="B252" s="4" t="inlineStr">
        <is>
          <t>市區小型公辦案</t>
        </is>
      </c>
      <c r="C252" s="4" t="inlineStr">
        <is>
          <t>hsinchu-city/市區小型公辦案.html</t>
        </is>
      </c>
      <c r="D252" s="4" t="inlineStr">
        <is>
          <t>已存在</t>
        </is>
      </c>
      <c r="E252" s="8" t="inlineStr">
        <is>
          <t>hsinchu-city/市區小型公辦案.html</t>
        </is>
      </c>
    </row>
    <row r="253">
      <c r="A253" s="4" t="inlineStr">
        <is>
          <t>③新竹市</t>
        </is>
      </c>
      <c r="B253" s="4" t="inlineStr">
        <is>
          <t>市區多處自辦重劃</t>
        </is>
      </c>
      <c r="C253" s="4" t="inlineStr">
        <is>
          <t>hsinchu-city/市區多處自辦重劃.html</t>
        </is>
      </c>
      <c r="D253" s="4" t="inlineStr">
        <is>
          <t>已存在</t>
        </is>
      </c>
      <c r="E253" s="8" t="inlineStr">
        <is>
          <t>hsinchu-city/市區多處自辦重劃.html</t>
        </is>
      </c>
    </row>
    <row r="254">
      <c r="A254" s="4" t="inlineStr">
        <is>
          <t>③新竹市</t>
        </is>
      </c>
      <c r="B254" s="4" t="inlineStr">
        <is>
          <t>金山街自辦重劃</t>
        </is>
      </c>
      <c r="C254" s="4" t="inlineStr">
        <is>
          <t>hsinchu-city/金山街自辦重劃.html</t>
        </is>
      </c>
      <c r="D254" s="4" t="inlineStr">
        <is>
          <t>已存在</t>
        </is>
      </c>
      <c r="E254" s="8" t="inlineStr">
        <is>
          <t>hsinchu-city/金山街自辦重劃.html</t>
        </is>
      </c>
    </row>
    <row r="255">
      <c r="A255" s="4" t="inlineStr">
        <is>
          <t>③新竹市</t>
        </is>
      </c>
      <c r="B255" s="4" t="inlineStr">
        <is>
          <t>舊市區都更</t>
        </is>
      </c>
      <c r="C255" s="4" t="inlineStr">
        <is>
          <t>hsinchu-city/舊市區都更.html</t>
        </is>
      </c>
      <c r="D255" s="4" t="inlineStr">
        <is>
          <t>已存在</t>
        </is>
      </c>
      <c r="E255" s="8" t="inlineStr">
        <is>
          <t>hsinchu-city/舊市區都更.html</t>
        </is>
      </c>
    </row>
    <row r="256">
      <c r="A256" s="4" t="inlineStr">
        <is>
          <t>③新竹縣</t>
        </is>
      </c>
      <c r="B256" s="4" t="inlineStr">
        <is>
          <t>竹北多期公辦重劃</t>
        </is>
      </c>
      <c r="C256" s="4" t="inlineStr">
        <is>
          <t>hsinchu-county/竹北多期公辦重劃.html</t>
        </is>
      </c>
      <c r="D256" s="4" t="inlineStr">
        <is>
          <t>已存在</t>
        </is>
      </c>
      <c r="E256" s="8" t="inlineStr">
        <is>
          <t>hsinchu-county/竹北多期公辦重劃.html</t>
        </is>
      </c>
    </row>
    <row r="257">
      <c r="A257" s="4" t="inlineStr">
        <is>
          <t>③新竹縣</t>
        </is>
      </c>
      <c r="B257" s="4" t="inlineStr">
        <is>
          <t>湖口公辦重劃</t>
        </is>
      </c>
      <c r="C257" s="4" t="inlineStr">
        <is>
          <t>hsinchu-county/湖口公辦重劃.html</t>
        </is>
      </c>
      <c r="D257" s="4" t="inlineStr">
        <is>
          <t>已存在</t>
        </is>
      </c>
      <c r="E257" s="8" t="inlineStr">
        <is>
          <t>hsinchu-county/湖口公辦重劃.html</t>
        </is>
      </c>
    </row>
    <row r="258">
      <c r="A258" s="4" t="inlineStr">
        <is>
          <t>③新竹縣</t>
        </is>
      </c>
      <c r="B258" s="4" t="inlineStr">
        <is>
          <t>其他鄉鎮公辦案</t>
        </is>
      </c>
      <c r="C258" s="4" t="inlineStr">
        <is>
          <t>hsinchu-county/其他鄉鎮公辦案.html</t>
        </is>
      </c>
      <c r="D258" s="4" t="inlineStr">
        <is>
          <t>已存在</t>
        </is>
      </c>
      <c r="E258" s="8" t="inlineStr">
        <is>
          <t>hsinchu-county/其他鄉鎮公辦案.html</t>
        </is>
      </c>
    </row>
    <row r="259">
      <c r="A259" s="4" t="inlineStr">
        <is>
          <t>③新竹縣</t>
        </is>
      </c>
      <c r="B259" s="4" t="inlineStr">
        <is>
          <t>鄉鎮零星自辦案</t>
        </is>
      </c>
      <c r="C259" s="4" t="inlineStr">
        <is>
          <t>hsinchu-county/鄉鎮零星自辦案.html</t>
        </is>
      </c>
      <c r="D259" s="4" t="inlineStr">
        <is>
          <t>已存在</t>
        </is>
      </c>
      <c r="E259" s="8" t="inlineStr">
        <is>
          <t>hsinchu-county/鄉鎮零星自辦案.html</t>
        </is>
      </c>
    </row>
    <row r="260">
      <c r="A260" s="4" t="inlineStr">
        <is>
          <t>③新竹縣</t>
        </is>
      </c>
      <c r="B260" s="4" t="inlineStr">
        <is>
          <t>竹北高鐵特區</t>
        </is>
      </c>
      <c r="C260" s="4" t="inlineStr">
        <is>
          <t>hsinchu-county/竹北高鐵特區.html</t>
        </is>
      </c>
      <c r="D260" s="4" t="inlineStr">
        <is>
          <t>已存在</t>
        </is>
      </c>
      <c r="E260" s="8" t="inlineStr">
        <is>
          <t>hsinchu-county/竹北高鐵特區.html</t>
        </is>
      </c>
    </row>
    <row r="261">
      <c r="A261" s="4" t="inlineStr">
        <is>
          <t>③新竹縣</t>
        </is>
      </c>
      <c r="B261" s="4" t="inlineStr">
        <is>
          <t>舊市區零星都更</t>
        </is>
      </c>
      <c r="C261" s="4" t="inlineStr">
        <is>
          <t>hsinchu-county/舊市區零星都更.html</t>
        </is>
      </c>
      <c r="D261" s="4" t="inlineStr">
        <is>
          <t>已存在</t>
        </is>
      </c>
      <c r="E261" s="8" t="inlineStr">
        <is>
          <t>hsinchu-county/舊市區零星都更.html</t>
        </is>
      </c>
    </row>
    <row r="262">
      <c r="A262" s="4" t="inlineStr">
        <is>
          <t>③苗栗縣</t>
        </is>
      </c>
      <c r="B262" s="4" t="inlineStr">
        <is>
          <t>竹南公辦重劃</t>
        </is>
      </c>
      <c r="C262" s="4" t="inlineStr">
        <is>
          <t>miaoli/竹南公辦重劃.html</t>
        </is>
      </c>
      <c r="D262" s="4" t="inlineStr">
        <is>
          <t>已存在</t>
        </is>
      </c>
      <c r="E262" s="8" t="inlineStr">
        <is>
          <t>miaoli/竹南公辦重劃.html</t>
        </is>
      </c>
    </row>
    <row r="263">
      <c r="A263" s="4" t="inlineStr">
        <is>
          <t>③苗栗縣</t>
        </is>
      </c>
      <c r="B263" s="4" t="inlineStr">
        <is>
          <t>頭份公辦重劃</t>
        </is>
      </c>
      <c r="C263" s="4" t="inlineStr">
        <is>
          <t>miaoli/頭份公辦重劃.html</t>
        </is>
      </c>
      <c r="D263" s="4" t="inlineStr">
        <is>
          <t>已存在</t>
        </is>
      </c>
      <c r="E263" s="8" t="inlineStr">
        <is>
          <t>miaoli/頭份公辦重劃.html</t>
        </is>
      </c>
    </row>
    <row r="264">
      <c r="A264" s="4" t="inlineStr">
        <is>
          <t>③苗栗縣</t>
        </is>
      </c>
      <c r="B264" s="4" t="inlineStr">
        <is>
          <t>苗栗市自辦重劃</t>
        </is>
      </c>
      <c r="C264" s="4" t="inlineStr">
        <is>
          <t>miaoli/苗栗市自辦重劃.html</t>
        </is>
      </c>
      <c r="D264" s="4" t="inlineStr">
        <is>
          <t>已存在</t>
        </is>
      </c>
      <c r="E264" s="8" t="inlineStr">
        <is>
          <t>miaoli/苗栗市自辦重劃.html</t>
        </is>
      </c>
    </row>
    <row r="265">
      <c r="A265" s="4" t="inlineStr">
        <is>
          <t>③苗栗縣</t>
        </is>
      </c>
      <c r="B265" s="4" t="inlineStr">
        <is>
          <t>其他鄉鎮自辦案</t>
        </is>
      </c>
      <c r="C265" s="4" t="inlineStr">
        <is>
          <t>miaoli/其他鄉鎮自辦案.html</t>
        </is>
      </c>
      <c r="D265" s="4" t="inlineStr">
        <is>
          <t>已存在</t>
        </is>
      </c>
      <c r="E265" s="8" t="inlineStr">
        <is>
          <t>miaoli/其他鄉鎮自辦案.html</t>
        </is>
      </c>
    </row>
    <row r="266">
      <c r="A266" s="4" t="inlineStr">
        <is>
          <t>③苗栗縣</t>
        </is>
      </c>
      <c r="B266" s="4" t="inlineStr">
        <is>
          <t>舊市區零星都更</t>
        </is>
      </c>
      <c r="C266" s="4" t="inlineStr">
        <is>
          <t>miaoli/舊市區零星都更.html</t>
        </is>
      </c>
      <c r="D266" s="4" t="inlineStr">
        <is>
          <t>已存在</t>
        </is>
      </c>
      <c r="E266" s="8" t="inlineStr">
        <is>
          <t>miaoli/舊市區零星都更.html</t>
        </is>
      </c>
    </row>
    <row r="267">
      <c r="A267" s="4" t="inlineStr">
        <is>
          <t>③宜蘭縣</t>
        </is>
      </c>
      <c r="B267" s="4" t="inlineStr">
        <is>
          <t>羅東公辦重劃</t>
        </is>
      </c>
      <c r="C267" s="4" t="inlineStr">
        <is>
          <t>yilan/羅東公辦重劃.html</t>
        </is>
      </c>
      <c r="D267" s="4" t="inlineStr">
        <is>
          <t>已存在</t>
        </is>
      </c>
      <c r="E267" s="8" t="inlineStr">
        <is>
          <t>yilan/羅東公辦重劃.html</t>
        </is>
      </c>
    </row>
    <row r="268">
      <c r="A268" s="4" t="inlineStr">
        <is>
          <t>③宜蘭縣</t>
        </is>
      </c>
      <c r="B268" s="4" t="inlineStr">
        <is>
          <t>宜蘭市小型自辦重劃</t>
        </is>
      </c>
      <c r="C268" s="4" t="inlineStr">
        <is>
          <t>yilan/宜蘭市小型自辦重劃.html</t>
        </is>
      </c>
      <c r="D268" s="4" t="inlineStr">
        <is>
          <t>已存在</t>
        </is>
      </c>
      <c r="E268" s="8" t="inlineStr">
        <is>
          <t>yilan/宜蘭市小型自辦重劃.html</t>
        </is>
      </c>
    </row>
    <row r="269">
      <c r="A269" s="4" t="inlineStr">
        <is>
          <t>③宜蘭縣</t>
        </is>
      </c>
      <c r="B269" s="4" t="inlineStr">
        <is>
          <t>羅東特定區段徵收</t>
        </is>
      </c>
      <c r="C269" s="4" t="inlineStr">
        <is>
          <t>yilan/羅東特定區段徵收.html</t>
        </is>
      </c>
      <c r="D269" s="4" t="inlineStr">
        <is>
          <t>已存在</t>
        </is>
      </c>
      <c r="E269" s="8" t="inlineStr">
        <is>
          <t>yilan/羅東特定區段徵收.html</t>
        </is>
      </c>
    </row>
    <row r="270">
      <c r="A270" s="4" t="inlineStr">
        <is>
          <t>③宜蘭縣</t>
        </is>
      </c>
      <c r="B270" s="4" t="inlineStr">
        <is>
          <t>舊市區零星都更</t>
        </is>
      </c>
      <c r="C270" s="4" t="inlineStr">
        <is>
          <t>yilan/舊市區零星都更.html</t>
        </is>
      </c>
      <c r="D270" s="4" t="inlineStr">
        <is>
          <t>已存在</t>
        </is>
      </c>
      <c r="E270" s="8" t="inlineStr">
        <is>
          <t>yilan/舊市區零星都更.html</t>
        </is>
      </c>
    </row>
    <row r="271">
      <c r="A271" s="4" t="inlineStr">
        <is>
          <t>③彰化縣</t>
        </is>
      </c>
      <c r="B271" s="4" t="inlineStr">
        <is>
          <t>彰化市公辦重劃</t>
        </is>
      </c>
      <c r="C271" s="4" t="inlineStr">
        <is>
          <t>changhua/彰化市公辦重劃.html</t>
        </is>
      </c>
      <c r="D271" s="4" t="inlineStr">
        <is>
          <t>已存在</t>
        </is>
      </c>
      <c r="E271" s="8" t="inlineStr">
        <is>
          <t>changhua/彰化市公辦重劃.html</t>
        </is>
      </c>
    </row>
    <row r="272">
      <c r="A272" s="4" t="inlineStr">
        <is>
          <t>③彰化縣</t>
        </is>
      </c>
      <c r="B272" s="4" t="inlineStr">
        <is>
          <t>員林公辦重劃</t>
        </is>
      </c>
      <c r="C272" s="4" t="inlineStr">
        <is>
          <t>changhua/員林公辦重劃.html</t>
        </is>
      </c>
      <c r="D272" s="4" t="inlineStr">
        <is>
          <t>已存在</t>
        </is>
      </c>
      <c r="E272" s="8" t="inlineStr">
        <is>
          <t>changhua/員林公辦重劃.html</t>
        </is>
      </c>
    </row>
    <row r="273">
      <c r="A273" s="4" t="inlineStr">
        <is>
          <t>③彰化縣</t>
        </is>
      </c>
      <c r="B273" s="4" t="inlineStr">
        <is>
          <t>鹿港自辦重劃</t>
        </is>
      </c>
      <c r="C273" s="4" t="inlineStr">
        <is>
          <t>changhua/鹿港自辦重劃.html</t>
        </is>
      </c>
      <c r="D273" s="4" t="inlineStr">
        <is>
          <t>已存在</t>
        </is>
      </c>
      <c r="E273" s="8" t="inlineStr">
        <is>
          <t>changhua/鹿港自辦重劃.html</t>
        </is>
      </c>
    </row>
    <row r="274">
      <c r="A274" s="4" t="inlineStr">
        <is>
          <t>③彰化縣</t>
        </is>
      </c>
      <c r="B274" s="4" t="inlineStr">
        <is>
          <t>和美自辦重劃</t>
        </is>
      </c>
      <c r="C274" s="4" t="inlineStr">
        <is>
          <t>changhua/和美自辦重劃.html</t>
        </is>
      </c>
      <c r="D274" s="4" t="inlineStr">
        <is>
          <t>已存在</t>
        </is>
      </c>
      <c r="E274" s="8" t="inlineStr">
        <is>
          <t>changhua/和美自辦重劃.html</t>
        </is>
      </c>
    </row>
    <row r="275">
      <c r="A275" s="4" t="inlineStr">
        <is>
          <t>③彰化縣</t>
        </is>
      </c>
      <c r="B275" s="4" t="inlineStr">
        <is>
          <t>其他鄉鎮大量自辦案</t>
        </is>
      </c>
      <c r="C275" s="4" t="inlineStr">
        <is>
          <t>changhua/其他鄉鎮大量自辦案.html</t>
        </is>
      </c>
      <c r="D275" s="4" t="inlineStr">
        <is>
          <t>已存在</t>
        </is>
      </c>
      <c r="E275" s="8" t="inlineStr">
        <is>
          <t>changhua/其他鄉鎮大量自辦案.html</t>
        </is>
      </c>
    </row>
    <row r="276">
      <c r="A276" s="4" t="inlineStr">
        <is>
          <t>③彰化縣</t>
        </is>
      </c>
      <c r="B276" s="4" t="inlineStr">
        <is>
          <t>（全台自辦重劃密度最高）</t>
        </is>
      </c>
      <c r="C276" s="4" t="inlineStr">
        <is>
          <t>changhua/（全台自辦重劃密度最高）.html</t>
        </is>
      </c>
      <c r="D276" s="4" t="inlineStr">
        <is>
          <t>已存在</t>
        </is>
      </c>
      <c r="E276" s="8" t="inlineStr">
        <is>
          <t>changhua/（全台自辦重劃密度最高）.html</t>
        </is>
      </c>
    </row>
    <row r="277">
      <c r="A277" s="4" t="inlineStr">
        <is>
          <t>③彰化縣</t>
        </is>
      </c>
      <c r="B277" s="4" t="inlineStr">
        <is>
          <t>舊市區零星都更</t>
        </is>
      </c>
      <c r="C277" s="4" t="inlineStr">
        <is>
          <t>changhua/舊市區零星都更.html</t>
        </is>
      </c>
      <c r="D277" s="4" t="inlineStr">
        <is>
          <t>已存在</t>
        </is>
      </c>
      <c r="E277" s="8" t="inlineStr">
        <is>
          <t>changhua/舊市區零星都更.html</t>
        </is>
      </c>
    </row>
    <row r="278">
      <c r="A278" s="4" t="inlineStr">
        <is>
          <t>③南投縣</t>
        </is>
      </c>
      <c r="B278" s="4" t="inlineStr">
        <is>
          <t>縣治小型公辦案</t>
        </is>
      </c>
      <c r="C278" s="4" t="inlineStr">
        <is>
          <t>nantou/縣治小型公辦案.html</t>
        </is>
      </c>
      <c r="D278" s="4" t="inlineStr">
        <is>
          <t>已存在</t>
        </is>
      </c>
      <c r="E278" s="8" t="inlineStr">
        <is>
          <t>nantou/縣治小型公辦案.html</t>
        </is>
      </c>
    </row>
    <row r="279">
      <c r="A279" s="4" t="inlineStr">
        <is>
          <t>③南投縣</t>
        </is>
      </c>
      <c r="B279" s="4" t="inlineStr">
        <is>
          <t>埔里自辦重劃</t>
        </is>
      </c>
      <c r="C279" s="4" t="inlineStr">
        <is>
          <t>nantou/埔里自辦重劃.html</t>
        </is>
      </c>
      <c r="D279" s="4" t="inlineStr">
        <is>
          <t>已存在</t>
        </is>
      </c>
      <c r="E279" s="8" t="inlineStr">
        <is>
          <t>nantou/埔里自辦重劃.html</t>
        </is>
      </c>
    </row>
    <row r="280">
      <c r="A280" s="4" t="inlineStr">
        <is>
          <t>③南投縣</t>
        </is>
      </c>
      <c r="B280" s="4" t="inlineStr">
        <is>
          <t>草屯自辦重劃</t>
        </is>
      </c>
      <c r="C280" s="4" t="inlineStr">
        <is>
          <t>nantou/草屯自辦重劃.html</t>
        </is>
      </c>
      <c r="D280" s="4" t="inlineStr">
        <is>
          <t>已存在</t>
        </is>
      </c>
      <c r="E280" s="8" t="inlineStr">
        <is>
          <t>nantou/草屯自辦重劃.html</t>
        </is>
      </c>
    </row>
    <row r="281">
      <c r="A281" s="4" t="inlineStr">
        <is>
          <t>③南投縣</t>
        </is>
      </c>
      <c r="B281" s="4" t="inlineStr">
        <is>
          <t>竹山自辦重劃</t>
        </is>
      </c>
      <c r="C281" s="4" t="inlineStr">
        <is>
          <t>nantou/竹山自辦重劃.html</t>
        </is>
      </c>
      <c r="D281" s="4" t="inlineStr">
        <is>
          <t>已存在</t>
        </is>
      </c>
      <c r="E281" s="8" t="inlineStr">
        <is>
          <t>nantou/竹山自辦重劃.html</t>
        </is>
      </c>
    </row>
    <row r="282">
      <c r="A282" s="4" t="inlineStr">
        <is>
          <t>③南投縣</t>
        </is>
      </c>
      <c r="B282" s="4" t="inlineStr">
        <is>
          <t>舊市區零星都更</t>
        </is>
      </c>
      <c r="C282" s="4" t="inlineStr">
        <is>
          <t>nantou/舊市區零星都更.html</t>
        </is>
      </c>
      <c r="D282" s="4" t="inlineStr">
        <is>
          <t>已存在</t>
        </is>
      </c>
      <c r="E282" s="8" t="inlineStr">
        <is>
          <t>nantou/舊市區零星都更.html</t>
        </is>
      </c>
    </row>
    <row r="283">
      <c r="A283" s="4" t="inlineStr">
        <is>
          <t>③雲林縣</t>
        </is>
      </c>
      <c r="B283" s="4" t="inlineStr">
        <is>
          <t>縣治小型公辦案</t>
        </is>
      </c>
      <c r="C283" s="4" t="inlineStr">
        <is>
          <t>yunlin/縣治小型公辦案.html</t>
        </is>
      </c>
      <c r="D283" s="4" t="inlineStr">
        <is>
          <t>已存在</t>
        </is>
      </c>
      <c r="E283" s="8" t="inlineStr">
        <is>
          <t>yunlin/縣治小型公辦案.html</t>
        </is>
      </c>
    </row>
    <row r="284">
      <c r="A284" s="4" t="inlineStr">
        <is>
          <t>③雲林縣</t>
        </is>
      </c>
      <c r="B284" s="4" t="inlineStr">
        <is>
          <t>斗六自辦重劃</t>
        </is>
      </c>
      <c r="C284" s="4" t="inlineStr">
        <is>
          <t>yunlin/斗六自辦重劃.html</t>
        </is>
      </c>
      <c r="D284" s="4" t="inlineStr">
        <is>
          <t>已存在</t>
        </is>
      </c>
      <c r="E284" s="8" t="inlineStr">
        <is>
          <t>yunlin/斗六自辦重劃.html</t>
        </is>
      </c>
    </row>
    <row r="285">
      <c r="A285" s="4" t="inlineStr">
        <is>
          <t>③雲林縣</t>
        </is>
      </c>
      <c r="B285" s="4" t="inlineStr">
        <is>
          <t>虎尾自辦重劃</t>
        </is>
      </c>
      <c r="C285" s="4" t="inlineStr">
        <is>
          <t>yunlin/虎尾自辦重劃.html</t>
        </is>
      </c>
      <c r="D285" s="4" t="inlineStr">
        <is>
          <t>已存在</t>
        </is>
      </c>
      <c r="E285" s="8" t="inlineStr">
        <is>
          <t>yunlin/虎尾自辦重劃.html</t>
        </is>
      </c>
    </row>
    <row r="286">
      <c r="A286" s="4" t="inlineStr">
        <is>
          <t>③雲林縣</t>
        </is>
      </c>
      <c r="B286" s="4" t="inlineStr">
        <is>
          <t>北港自辦重劃</t>
        </is>
      </c>
      <c r="C286" s="4" t="inlineStr">
        <is>
          <t>yunlin/北港自辦重劃.html</t>
        </is>
      </c>
      <c r="D286" s="4" t="inlineStr">
        <is>
          <t>已存在</t>
        </is>
      </c>
      <c r="E286" s="8" t="inlineStr">
        <is>
          <t>yunlin/北港自辦重劃.html</t>
        </is>
      </c>
    </row>
    <row r="287">
      <c r="A287" s="4" t="inlineStr">
        <is>
          <t>③雲林縣</t>
        </is>
      </c>
      <c r="B287" s="4" t="inlineStr">
        <is>
          <t>其他鄉鎮自辦案</t>
        </is>
      </c>
      <c r="C287" s="4" t="inlineStr">
        <is>
          <t>yunlin/其他鄉鎮自辦案.html</t>
        </is>
      </c>
      <c r="D287" s="4" t="inlineStr">
        <is>
          <t>已存在</t>
        </is>
      </c>
      <c r="E287" s="8" t="inlineStr">
        <is>
          <t>yunlin/其他鄉鎮自辦案.html</t>
        </is>
      </c>
    </row>
    <row r="288">
      <c r="A288" s="4" t="inlineStr">
        <is>
          <t>③雲林縣</t>
        </is>
      </c>
      <c r="B288" s="4" t="inlineStr">
        <is>
          <t>舊市區零星都更</t>
        </is>
      </c>
      <c r="C288" s="4" t="inlineStr">
        <is>
          <t>yunlin/舊市區零星都更.html</t>
        </is>
      </c>
      <c r="D288" s="4" t="inlineStr">
        <is>
          <t>已存在</t>
        </is>
      </c>
      <c r="E288" s="8" t="inlineStr">
        <is>
          <t>yunlin/舊市區零星都更.html</t>
        </is>
      </c>
    </row>
    <row r="289">
      <c r="A289" s="4" t="inlineStr">
        <is>
          <t>③嘉義市</t>
        </is>
      </c>
      <c r="B289" s="4" t="inlineStr">
        <is>
          <t>市區小型公辦案</t>
        </is>
      </c>
      <c r="C289" s="4" t="inlineStr">
        <is>
          <t>chiayi-city/市區小型公辦案.html</t>
        </is>
      </c>
      <c r="D289" s="4" t="inlineStr">
        <is>
          <t>已存在</t>
        </is>
      </c>
      <c r="E289" s="8" t="inlineStr">
        <is>
          <t>chiayi-city/市區小型公辦案.html</t>
        </is>
      </c>
    </row>
    <row r="290">
      <c r="A290" s="4" t="inlineStr">
        <is>
          <t>③嘉義市</t>
        </is>
      </c>
      <c r="B290" s="4" t="inlineStr">
        <is>
          <t>市區小型自辦重劃</t>
        </is>
      </c>
      <c r="C290" s="4" t="inlineStr">
        <is>
          <t>chiayi-city/市區小型自辦重劃.html</t>
        </is>
      </c>
      <c r="D290" s="4" t="inlineStr">
        <is>
          <t>已存在</t>
        </is>
      </c>
      <c r="E290" s="8" t="inlineStr">
        <is>
          <t>chiayi-city/市區小型自辦重劃.html</t>
        </is>
      </c>
    </row>
    <row r="291">
      <c r="A291" s="4" t="inlineStr">
        <is>
          <t>③嘉義市</t>
        </is>
      </c>
      <c r="B291" s="4" t="inlineStr">
        <is>
          <t>舊市區都更</t>
        </is>
      </c>
      <c r="C291" s="4" t="inlineStr">
        <is>
          <t>chiayi-city/舊市區都更.html</t>
        </is>
      </c>
      <c r="D291" s="4" t="inlineStr">
        <is>
          <t>已存在</t>
        </is>
      </c>
      <c r="E291" s="8" t="inlineStr">
        <is>
          <t>chiayi-city/舊市區都更.html</t>
        </is>
      </c>
    </row>
    <row r="292">
      <c r="A292" s="4" t="inlineStr">
        <is>
          <t>③嘉義縣</t>
        </is>
      </c>
      <c r="B292" s="4" t="inlineStr">
        <is>
          <t>太保公辦重劃</t>
        </is>
      </c>
      <c r="C292" s="4" t="inlineStr">
        <is>
          <t>chiayi-county/太保公辦重劃.html</t>
        </is>
      </c>
      <c r="D292" s="4" t="inlineStr">
        <is>
          <t>已存在</t>
        </is>
      </c>
      <c r="E292" s="8" t="inlineStr">
        <is>
          <t>chiayi-county/太保公辦重劃.html</t>
        </is>
      </c>
    </row>
    <row r="293">
      <c r="A293" s="4" t="inlineStr">
        <is>
          <t>③嘉義縣</t>
        </is>
      </c>
      <c r="B293" s="4" t="inlineStr">
        <is>
          <t>朴子公辦重劃</t>
        </is>
      </c>
      <c r="C293" s="4" t="inlineStr">
        <is>
          <t>chiayi-county/朴子公辦重劃.html</t>
        </is>
      </c>
      <c r="D293" s="4" t="inlineStr">
        <is>
          <t>已存在</t>
        </is>
      </c>
      <c r="E293" s="8" t="inlineStr">
        <is>
          <t>chiayi-county/朴子公辦重劃.html</t>
        </is>
      </c>
    </row>
    <row r="294">
      <c r="A294" s="4" t="inlineStr">
        <is>
          <t>③嘉義縣</t>
        </is>
      </c>
      <c r="B294" s="4" t="inlineStr">
        <is>
          <t>鄉鎮零星自辦案</t>
        </is>
      </c>
      <c r="C294" s="4" t="inlineStr">
        <is>
          <t>chiayi-county/鄉鎮零星自辦案.html</t>
        </is>
      </c>
      <c r="D294" s="4" t="inlineStr">
        <is>
          <t>已存在</t>
        </is>
      </c>
      <c r="E294" s="8" t="inlineStr">
        <is>
          <t>chiayi-county/鄉鎮零星自辦案.html</t>
        </is>
      </c>
    </row>
    <row r="295">
      <c r="A295" s="4" t="inlineStr">
        <is>
          <t>③嘉義縣</t>
        </is>
      </c>
      <c r="B295" s="4" t="inlineStr">
        <is>
          <t>舊市區零星都更</t>
        </is>
      </c>
      <c r="C295" s="4" t="inlineStr">
        <is>
          <t>chiayi-county/舊市區零星都更.html</t>
        </is>
      </c>
      <c r="D295" s="4" t="inlineStr">
        <is>
          <t>已存在</t>
        </is>
      </c>
      <c r="E295" s="8" t="inlineStr">
        <is>
          <t>chiayi-county/舊市區零星都更.html</t>
        </is>
      </c>
    </row>
    <row r="296">
      <c r="A296" s="4" t="inlineStr">
        <is>
          <t>③屏東縣</t>
        </is>
      </c>
      <c r="B296" s="4" t="inlineStr">
        <is>
          <t>屏東市公辦重劃</t>
        </is>
      </c>
      <c r="C296" s="4" t="inlineStr">
        <is>
          <t>pingtung/屏東市公辦重劃.html</t>
        </is>
      </c>
      <c r="D296" s="4" t="inlineStr">
        <is>
          <t>已存在</t>
        </is>
      </c>
      <c r="E296" s="8" t="inlineStr">
        <is>
          <t>pingtung/屏東市公辦重劃.html</t>
        </is>
      </c>
    </row>
    <row r="297">
      <c r="A297" s="4" t="inlineStr">
        <is>
          <t>③屏東縣</t>
        </is>
      </c>
      <c r="B297" s="4" t="inlineStr">
        <is>
          <t>潮州自辦重劃</t>
        </is>
      </c>
      <c r="C297" s="4" t="inlineStr">
        <is>
          <t>pingtung/潮州自辦重劃.html</t>
        </is>
      </c>
      <c r="D297" s="4" t="inlineStr">
        <is>
          <t>已存在</t>
        </is>
      </c>
      <c r="E297" s="8" t="inlineStr">
        <is>
          <t>pingtung/潮州自辦重劃.html</t>
        </is>
      </c>
    </row>
    <row r="298">
      <c r="A298" s="4" t="inlineStr">
        <is>
          <t>③屏東縣</t>
        </is>
      </c>
      <c r="B298" s="4" t="inlineStr">
        <is>
          <t>內埔自辦重劃</t>
        </is>
      </c>
      <c r="C298" s="4" t="inlineStr">
        <is>
          <t>pingtung/內埔自辦重劃.html</t>
        </is>
      </c>
      <c r="D298" s="4" t="inlineStr">
        <is>
          <t>已存在</t>
        </is>
      </c>
      <c r="E298" s="8" t="inlineStr">
        <is>
          <t>pingtung/內埔自辦重劃.html</t>
        </is>
      </c>
    </row>
    <row r="299">
      <c r="A299" s="4" t="inlineStr">
        <is>
          <t>③屏東縣</t>
        </is>
      </c>
      <c r="B299" s="4" t="inlineStr">
        <is>
          <t>其他鄉鎮自辦案</t>
        </is>
      </c>
      <c r="C299" s="4" t="inlineStr">
        <is>
          <t>pingtung/其他鄉鎮自辦案.html</t>
        </is>
      </c>
      <c r="D299" s="4" t="inlineStr">
        <is>
          <t>已存在</t>
        </is>
      </c>
      <c r="E299" s="8" t="inlineStr">
        <is>
          <t>pingtung/其他鄉鎮自辦案.html</t>
        </is>
      </c>
    </row>
    <row r="300">
      <c r="A300" s="4" t="inlineStr">
        <is>
          <t>③屏東縣</t>
        </is>
      </c>
      <c r="B300" s="4" t="inlineStr">
        <is>
          <t>舊市區零星都更</t>
        </is>
      </c>
      <c r="C300" s="4" t="inlineStr">
        <is>
          <t>pingtung/舊市區零星都更.html</t>
        </is>
      </c>
      <c r="D300" s="4" t="inlineStr">
        <is>
          <t>已存在</t>
        </is>
      </c>
      <c r="E300" s="8" t="inlineStr">
        <is>
          <t>pingtung/舊市區零星都更.html</t>
        </is>
      </c>
    </row>
    <row r="301">
      <c r="A301" s="4" t="inlineStr">
        <is>
          <t>③花蓮縣</t>
        </is>
      </c>
      <c r="B301" s="4" t="inlineStr">
        <is>
          <t>縣治小型公辦案</t>
        </is>
      </c>
      <c r="C301" s="4" t="inlineStr">
        <is>
          <t>hualien/縣治小型公辦案.html</t>
        </is>
      </c>
      <c r="D301" s="4" t="inlineStr">
        <is>
          <t>已存在</t>
        </is>
      </c>
      <c r="E301" s="8" t="inlineStr">
        <is>
          <t>hualien/縣治小型公辦案.html</t>
        </is>
      </c>
    </row>
    <row r="302">
      <c r="A302" s="4" t="inlineStr">
        <is>
          <t>③花蓮縣</t>
        </is>
      </c>
      <c r="B302" s="4" t="inlineStr">
        <is>
          <t>縣治零星小型自辦案</t>
        </is>
      </c>
      <c r="C302" s="4" t="inlineStr">
        <is>
          <t>hualien/縣治零星小型自辦案.html</t>
        </is>
      </c>
      <c r="D302" s="4" t="inlineStr">
        <is>
          <t>已存在</t>
        </is>
      </c>
      <c r="E302" s="8" t="inlineStr">
        <is>
          <t>hualien/縣治零星小型自辦案.html</t>
        </is>
      </c>
    </row>
    <row r="303">
      <c r="A303" s="4" t="inlineStr">
        <is>
          <t>③花蓮縣</t>
        </is>
      </c>
      <c r="B303" s="4" t="inlineStr">
        <is>
          <t>花蓮市公共建設區段徵收</t>
        </is>
      </c>
      <c r="C303" s="4" t="inlineStr">
        <is>
          <t>hualien/花蓮市公共建設區段徵收.html</t>
        </is>
      </c>
      <c r="D303" s="4" t="inlineStr">
        <is>
          <t>已存在</t>
        </is>
      </c>
      <c r="E303" s="8" t="inlineStr">
        <is>
          <t>hualien/花蓮市公共建設區段徵收.html</t>
        </is>
      </c>
    </row>
    <row r="304">
      <c r="A304" s="4" t="inlineStr">
        <is>
          <t>③花蓮縣</t>
        </is>
      </c>
      <c r="B304" s="4" t="inlineStr">
        <is>
          <t>舊市區零星都更</t>
        </is>
      </c>
      <c r="C304" s="4" t="inlineStr">
        <is>
          <t>hualien/舊市區零星都更.html</t>
        </is>
      </c>
      <c r="D304" s="4" t="inlineStr">
        <is>
          <t>已存在</t>
        </is>
      </c>
      <c r="E304" s="8" t="inlineStr">
        <is>
          <t>hualien/舊市區零星都更.html</t>
        </is>
      </c>
    </row>
    <row r="305">
      <c r="A305" s="4" t="inlineStr">
        <is>
          <t>③臺東縣</t>
        </is>
      </c>
      <c r="B305" s="4" t="inlineStr">
        <is>
          <t>縣治小型公辦案</t>
        </is>
      </c>
      <c r="C305" s="4" t="inlineStr">
        <is>
          <t>taitung/縣治小型公辦案.html</t>
        </is>
      </c>
      <c r="D305" s="4" t="inlineStr">
        <is>
          <t>已存在</t>
        </is>
      </c>
      <c r="E305" s="8" t="inlineStr">
        <is>
          <t>taitung/縣治小型公辦案.html</t>
        </is>
      </c>
    </row>
    <row r="306">
      <c r="A306" s="4" t="inlineStr">
        <is>
          <t>③臺東縣</t>
        </is>
      </c>
      <c r="B306" s="4" t="inlineStr">
        <is>
          <t>縣治零星小型自辦案</t>
        </is>
      </c>
      <c r="C306" s="4" t="inlineStr">
        <is>
          <t>taitung/縣治零星小型自辦案.html</t>
        </is>
      </c>
      <c r="D306" s="4" t="inlineStr">
        <is>
          <t>已存在</t>
        </is>
      </c>
      <c r="E306" s="8" t="inlineStr">
        <is>
          <t>taitung/縣治零星小型自辦案.html</t>
        </is>
      </c>
    </row>
    <row r="307">
      <c r="A307" s="4" t="inlineStr">
        <is>
          <t>③臺東縣</t>
        </is>
      </c>
      <c r="B307" s="4" t="inlineStr">
        <is>
          <t>臺東市區區段徵收</t>
        </is>
      </c>
      <c r="C307" s="4" t="inlineStr">
        <is>
          <t>taitung/臺東市區區段徵收.html</t>
        </is>
      </c>
      <c r="D307" s="4" t="inlineStr">
        <is>
          <t>已存在</t>
        </is>
      </c>
      <c r="E307" s="8" t="inlineStr">
        <is>
          <t>taitung/臺東市區區段徵收.html</t>
        </is>
      </c>
    </row>
    <row r="308">
      <c r="A308" s="4" t="inlineStr">
        <is>
          <t>③臺東縣</t>
        </is>
      </c>
      <c r="B308" s="4" t="inlineStr">
        <is>
          <t>舊市區零星都更</t>
        </is>
      </c>
      <c r="C308" s="4" t="inlineStr">
        <is>
          <t>taitung/舊市區零星都更.html</t>
        </is>
      </c>
      <c r="D308" s="4" t="inlineStr">
        <is>
          <t>已存在</t>
        </is>
      </c>
      <c r="E308" s="8" t="inlineStr">
        <is>
          <t>taitung/舊市區零星都更.html</t>
        </is>
      </c>
    </row>
    <row r="309">
      <c r="A309" s="4" t="inlineStr">
        <is>
          <t>③澎湖縣</t>
        </is>
      </c>
      <c r="B309" s="4" t="inlineStr">
        <is>
          <t>無大型住宅重劃</t>
        </is>
      </c>
      <c r="C309" s="4" t="inlineStr">
        <is>
          <t>penghu/無大型住宅重劃.html</t>
        </is>
      </c>
      <c r="D309" s="4" t="inlineStr">
        <is>
          <t>已存在</t>
        </is>
      </c>
      <c r="E309" s="8" t="inlineStr">
        <is>
          <t>penghu/無大型住宅重劃.html</t>
        </is>
      </c>
    </row>
    <row r="310">
      <c r="A310" s="4" t="inlineStr">
        <is>
          <t>③澎湖縣</t>
        </is>
      </c>
      <c r="B310" s="4" t="inlineStr">
        <is>
          <t>幾乎無</t>
        </is>
      </c>
      <c r="C310" s="4" t="inlineStr">
        <is>
          <t>penghu/幾乎無.html</t>
        </is>
      </c>
      <c r="D310" s="4" t="inlineStr">
        <is>
          <t>已存在</t>
        </is>
      </c>
      <c r="E310" s="8" t="inlineStr">
        <is>
          <t>penghu/幾乎無.html</t>
        </is>
      </c>
    </row>
    <row r="311">
      <c r="A311" s="4" t="inlineStr">
        <is>
          <t>③澎湖縣</t>
        </is>
      </c>
      <c r="B311" s="4" t="inlineStr">
        <is>
          <t>僅公共建設類</t>
        </is>
      </c>
      <c r="C311" s="4" t="inlineStr">
        <is>
          <t>penghu/僅公共建設類.html</t>
        </is>
      </c>
      <c r="D311" s="4" t="inlineStr">
        <is>
          <t>已存在</t>
        </is>
      </c>
      <c r="E311" s="8" t="inlineStr">
        <is>
          <t>penghu/僅公共建設類.html</t>
        </is>
      </c>
    </row>
    <row r="312">
      <c r="A312" s="4" t="inlineStr">
        <is>
          <t>③金門縣</t>
        </is>
      </c>
      <c r="B312" s="4" t="inlineStr">
        <is>
          <t>無大型住宅重劃</t>
        </is>
      </c>
      <c r="C312" s="4" t="inlineStr">
        <is>
          <t>kinmen/無大型住宅重劃.html</t>
        </is>
      </c>
      <c r="D312" s="4" t="inlineStr">
        <is>
          <t>已存在</t>
        </is>
      </c>
      <c r="E312" s="8" t="inlineStr">
        <is>
          <t>kinmen/無大型住宅重劃.html</t>
        </is>
      </c>
    </row>
    <row r="313">
      <c r="A313" s="4" t="inlineStr">
        <is>
          <t>③金門縣</t>
        </is>
      </c>
      <c r="B313" s="4" t="inlineStr">
        <is>
          <t>幾乎無</t>
        </is>
      </c>
      <c r="C313" s="4" t="inlineStr">
        <is>
          <t>kinmen/幾乎無.html</t>
        </is>
      </c>
      <c r="D313" s="4" t="inlineStr">
        <is>
          <t>已存在</t>
        </is>
      </c>
      <c r="E313" s="8" t="inlineStr">
        <is>
          <t>kinmen/幾乎無.html</t>
        </is>
      </c>
    </row>
    <row r="314">
      <c r="A314" s="4" t="inlineStr">
        <is>
          <t>③金門縣</t>
        </is>
      </c>
      <c r="B314" s="4" t="inlineStr">
        <is>
          <t>僅公共建設類</t>
        </is>
      </c>
      <c r="C314" s="4" t="inlineStr">
        <is>
          <t>kinmen/僅公共建設類.html</t>
        </is>
      </c>
      <c r="D314" s="4" t="inlineStr">
        <is>
          <t>已存在</t>
        </is>
      </c>
      <c r="E314" s="8" t="inlineStr">
        <is>
          <t>kinmen/僅公共建設類.html</t>
        </is>
      </c>
    </row>
    <row r="315">
      <c r="A315" s="4" t="inlineStr">
        <is>
          <t>③連江縣</t>
        </is>
      </c>
      <c r="B315" s="4" t="inlineStr">
        <is>
          <t>無大型住宅重劃</t>
        </is>
      </c>
      <c r="C315" s="4" t="inlineStr">
        <is>
          <t>lienchiang/無大型住宅重劃.html</t>
        </is>
      </c>
      <c r="D315" s="4" t="inlineStr">
        <is>
          <t>已存在</t>
        </is>
      </c>
      <c r="E315" s="8" t="inlineStr">
        <is>
          <t>lienchiang/無大型住宅重劃.html</t>
        </is>
      </c>
    </row>
    <row r="316">
      <c r="A316" s="4" t="inlineStr">
        <is>
          <t>③連江縣</t>
        </is>
      </c>
      <c r="B316" s="4" t="inlineStr">
        <is>
          <t>幾乎無</t>
        </is>
      </c>
      <c r="C316" s="4" t="inlineStr">
        <is>
          <t>lienchiang/幾乎無.html</t>
        </is>
      </c>
      <c r="D316" s="4" t="inlineStr">
        <is>
          <t>已存在</t>
        </is>
      </c>
      <c r="E316" s="8" t="inlineStr">
        <is>
          <t>lienchiang/幾乎無.html</t>
        </is>
      </c>
    </row>
    <row r="317">
      <c r="A317" s="4" t="inlineStr">
        <is>
          <t>③連江縣</t>
        </is>
      </c>
      <c r="B317" s="4" t="inlineStr">
        <is>
          <t>僅公共建設類</t>
        </is>
      </c>
      <c r="C317" s="4" t="inlineStr">
        <is>
          <t>lienchiang/僅公共建設類.html</t>
        </is>
      </c>
      <c r="D317" s="4" t="inlineStr">
        <is>
          <t>已存在</t>
        </is>
      </c>
      <c r="E317" s="8" t="inlineStr">
        <is>
          <t>lienchiang/僅公共建設類.html</t>
        </is>
      </c>
    </row>
    <row r="318">
      <c r="A318" s="2" t="inlineStr">
        <is>
          <t>④ 根目錄入口頁</t>
        </is>
      </c>
      <c r="B318" s="3" t="inlineStr"/>
      <c r="C318" s="3" t="inlineStr"/>
      <c r="D318" s="3" t="inlineStr"/>
      <c r="E318" s="3" t="inlineStr"/>
    </row>
    <row r="319">
      <c r="A319" s="4" t="inlineStr">
        <is>
          <t>④根目錄</t>
        </is>
      </c>
      <c r="B319" s="4" t="inlineStr">
        <is>
          <t>index.html</t>
        </is>
      </c>
      <c r="C319" s="4" t="inlineStr">
        <is>
          <t>index.html</t>
        </is>
      </c>
      <c r="D319" s="4" t="inlineStr">
        <is>
          <t>已存在</t>
        </is>
      </c>
      <c r="E319" s="4" t="inlineStr">
        <is>
          <t>index.html</t>
        </is>
      </c>
    </row>
    <row r="320">
      <c r="A320" s="4" t="inlineStr">
        <is>
          <t>④根目錄</t>
        </is>
      </c>
      <c r="B320" s="4" t="inlineStr">
        <is>
          <t>toc.html</t>
        </is>
      </c>
      <c r="C320" s="4" t="inlineStr">
        <is>
          <t>toc.html</t>
        </is>
      </c>
      <c r="D320" s="4" t="inlineStr">
        <is>
          <t>已存在</t>
        </is>
      </c>
      <c r="E320" s="4" t="inlineStr">
        <is>
          <t>toc.html</t>
        </is>
      </c>
    </row>
    <row r="321">
      <c r="A321" s="4" t="inlineStr">
        <is>
          <t>④根目錄</t>
        </is>
      </c>
      <c r="B321" s="4" t="inlineStr">
        <is>
          <t>台灣22縣市重劃區_整合導覽入口.html</t>
        </is>
      </c>
      <c r="C321" s="4" t="inlineStr">
        <is>
          <t>台灣22縣市重劃區_整合導覽入口.html</t>
        </is>
      </c>
      <c r="D321" s="4" t="inlineStr">
        <is>
          <t>已存在</t>
        </is>
      </c>
      <c r="E321" s="4" t="inlineStr">
        <is>
          <t>台灣22縣市重劃區_整合導覽入口.html</t>
        </is>
      </c>
    </row>
    <row r="322">
      <c r="A322" s="4" t="inlineStr">
        <is>
          <t>④根目錄</t>
        </is>
      </c>
      <c r="B322" s="4" t="inlineStr">
        <is>
          <t>台灣22縣市重劃區總目錄-.html</t>
        </is>
      </c>
      <c r="C322" s="4" t="inlineStr">
        <is>
          <t>台灣22縣市重劃區總目錄-.html</t>
        </is>
      </c>
      <c r="D322" s="4" t="inlineStr">
        <is>
          <t>已存在</t>
        </is>
      </c>
      <c r="E322" s="4" t="inlineStr">
        <is>
          <t>台灣22縣市重劃區總目錄-.html</t>
        </is>
      </c>
    </row>
    <row r="323">
      <c r="A323" s="4" t="inlineStr">
        <is>
          <t>④根目錄</t>
        </is>
      </c>
      <c r="B323" s="4" t="inlineStr">
        <is>
          <t>台灣22縣市重劃區總目錄.html</t>
        </is>
      </c>
      <c r="C323" s="4" t="inlineStr">
        <is>
          <t>台灣22縣市重劃區總目錄.html</t>
        </is>
      </c>
      <c r="D323" s="4" t="inlineStr">
        <is>
          <t>已存在</t>
        </is>
      </c>
      <c r="E323" s="4" t="inlineStr">
        <is>
          <t>台灣22縣市重劃區總目錄.html</t>
        </is>
      </c>
    </row>
    <row r="324">
      <c r="A324" s="4" t="inlineStr">
        <is>
          <t>④根目錄</t>
        </is>
      </c>
      <c r="B324" s="4" t="inlineStr">
        <is>
          <t>臺中市重劃區全目錄-.html</t>
        </is>
      </c>
      <c r="C324" s="4" t="inlineStr">
        <is>
          <t>臺中市重劃區全目錄-.html</t>
        </is>
      </c>
      <c r="D324" s="4" t="inlineStr">
        <is>
          <t>已存在</t>
        </is>
      </c>
      <c r="E324" s="4" t="inlineStr">
        <is>
          <t>臺中市重劃區全目錄-.html</t>
        </is>
      </c>
    </row>
    <row r="325">
      <c r="A325" s="4" t="inlineStr">
        <is>
          <t>④根目錄</t>
        </is>
      </c>
      <c r="B325" s="4" t="inlineStr">
        <is>
          <t>臺中市重劃區全目錄.html</t>
        </is>
      </c>
      <c r="C325" s="4" t="inlineStr">
        <is>
          <t>臺中市重劃區全目錄.html</t>
        </is>
      </c>
      <c r="D325" s="4" t="inlineStr">
        <is>
          <t>已存在</t>
        </is>
      </c>
      <c r="E325" s="4" t="inlineStr">
        <is>
          <t>臺中市重劃區全目錄.html</t>
        </is>
      </c>
    </row>
    <row r="326">
      <c r="A326" s="4" t="inlineStr">
        <is>
          <t>④根目錄</t>
        </is>
      </c>
      <c r="B326" s="4" t="inlineStr">
        <is>
          <t>臺中市重劃區買房實戰指南-.html</t>
        </is>
      </c>
      <c r="C326" s="4" t="inlineStr">
        <is>
          <t>臺中市重劃區買房實戰指南-.html</t>
        </is>
      </c>
      <c r="D326" s="4" t="inlineStr">
        <is>
          <t>已存在</t>
        </is>
      </c>
      <c r="E326" s="4" t="inlineStr">
        <is>
          <t>臺中市重劃區買房實戰指南-.html</t>
        </is>
      </c>
    </row>
    <row r="327">
      <c r="A327" s="4" t="inlineStr">
        <is>
          <t>④根目錄</t>
        </is>
      </c>
      <c r="B327" s="4" t="inlineStr">
        <is>
          <t>臺中市重劃區買房實戰指南.html</t>
        </is>
      </c>
      <c r="C327" s="4" t="inlineStr">
        <is>
          <t>臺中市重劃區買房實戰指南.html</t>
        </is>
      </c>
      <c r="D327" s="4" t="inlineStr">
        <is>
          <t>已存在</t>
        </is>
      </c>
      <c r="E327" s="4" t="inlineStr">
        <is>
          <t>臺中市重劃區買房實戰指南.html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28" r:id="rId10"/>
    <hyperlink xmlns:r="http://schemas.openxmlformats.org/officeDocument/2006/relationships" ref="E41" r:id="rId11"/>
    <hyperlink xmlns:r="http://schemas.openxmlformats.org/officeDocument/2006/relationships" ref="E61" r:id="rId12"/>
    <hyperlink xmlns:r="http://schemas.openxmlformats.org/officeDocument/2006/relationships" ref="E62" r:id="rId13"/>
    <hyperlink xmlns:r="http://schemas.openxmlformats.org/officeDocument/2006/relationships" ref="E63" r:id="rId14"/>
    <hyperlink xmlns:r="http://schemas.openxmlformats.org/officeDocument/2006/relationships" ref="E64" r:id="rId15"/>
    <hyperlink xmlns:r="http://schemas.openxmlformats.org/officeDocument/2006/relationships" ref="E65" r:id="rId16"/>
    <hyperlink xmlns:r="http://schemas.openxmlformats.org/officeDocument/2006/relationships" ref="E66" r:id="rId17"/>
    <hyperlink xmlns:r="http://schemas.openxmlformats.org/officeDocument/2006/relationships" ref="E67" r:id="rId18"/>
    <hyperlink xmlns:r="http://schemas.openxmlformats.org/officeDocument/2006/relationships" ref="E68" r:id="rId19"/>
    <hyperlink xmlns:r="http://schemas.openxmlformats.org/officeDocument/2006/relationships" ref="E69" r:id="rId20"/>
    <hyperlink xmlns:r="http://schemas.openxmlformats.org/officeDocument/2006/relationships" ref="E70" r:id="rId21"/>
    <hyperlink xmlns:r="http://schemas.openxmlformats.org/officeDocument/2006/relationships" ref="E71" r:id="rId22"/>
    <hyperlink xmlns:r="http://schemas.openxmlformats.org/officeDocument/2006/relationships" ref="E72" r:id="rId23"/>
    <hyperlink xmlns:r="http://schemas.openxmlformats.org/officeDocument/2006/relationships" ref="E73" r:id="rId24"/>
    <hyperlink xmlns:r="http://schemas.openxmlformats.org/officeDocument/2006/relationships" ref="E74" r:id="rId25"/>
    <hyperlink xmlns:r="http://schemas.openxmlformats.org/officeDocument/2006/relationships" ref="E75" r:id="rId26"/>
    <hyperlink xmlns:r="http://schemas.openxmlformats.org/officeDocument/2006/relationships" ref="E76" r:id="rId27"/>
    <hyperlink xmlns:r="http://schemas.openxmlformats.org/officeDocument/2006/relationships" ref="E77" r:id="rId28"/>
    <hyperlink xmlns:r="http://schemas.openxmlformats.org/officeDocument/2006/relationships" ref="E78" r:id="rId29"/>
    <hyperlink xmlns:r="http://schemas.openxmlformats.org/officeDocument/2006/relationships" ref="E79" r:id="rId30"/>
    <hyperlink xmlns:r="http://schemas.openxmlformats.org/officeDocument/2006/relationships" ref="E80" r:id="rId31"/>
    <hyperlink xmlns:r="http://schemas.openxmlformats.org/officeDocument/2006/relationships" ref="E81" r:id="rId32"/>
    <hyperlink xmlns:r="http://schemas.openxmlformats.org/officeDocument/2006/relationships" ref="E82" r:id="rId33"/>
    <hyperlink xmlns:r="http://schemas.openxmlformats.org/officeDocument/2006/relationships" ref="E83" r:id="rId34"/>
    <hyperlink xmlns:r="http://schemas.openxmlformats.org/officeDocument/2006/relationships" ref="E84" r:id="rId35"/>
    <hyperlink xmlns:r="http://schemas.openxmlformats.org/officeDocument/2006/relationships" ref="E85" r:id="rId36"/>
    <hyperlink xmlns:r="http://schemas.openxmlformats.org/officeDocument/2006/relationships" ref="E86" r:id="rId37"/>
    <hyperlink xmlns:r="http://schemas.openxmlformats.org/officeDocument/2006/relationships" ref="E87" r:id="rId38"/>
    <hyperlink xmlns:r="http://schemas.openxmlformats.org/officeDocument/2006/relationships" ref="E88" r:id="rId39"/>
    <hyperlink xmlns:r="http://schemas.openxmlformats.org/officeDocument/2006/relationships" ref="E89" r:id="rId40"/>
    <hyperlink xmlns:r="http://schemas.openxmlformats.org/officeDocument/2006/relationships" ref="E90" r:id="rId41"/>
    <hyperlink xmlns:r="http://schemas.openxmlformats.org/officeDocument/2006/relationships" ref="E91" r:id="rId42"/>
    <hyperlink xmlns:r="http://schemas.openxmlformats.org/officeDocument/2006/relationships" ref="E92" r:id="rId43"/>
    <hyperlink xmlns:r="http://schemas.openxmlformats.org/officeDocument/2006/relationships" ref="E93" r:id="rId44"/>
    <hyperlink xmlns:r="http://schemas.openxmlformats.org/officeDocument/2006/relationships" ref="E94" r:id="rId45"/>
    <hyperlink xmlns:r="http://schemas.openxmlformats.org/officeDocument/2006/relationships" ref="E95" r:id="rId46"/>
    <hyperlink xmlns:r="http://schemas.openxmlformats.org/officeDocument/2006/relationships" ref="E96" r:id="rId47"/>
    <hyperlink xmlns:r="http://schemas.openxmlformats.org/officeDocument/2006/relationships" ref="E97" r:id="rId48"/>
    <hyperlink xmlns:r="http://schemas.openxmlformats.org/officeDocument/2006/relationships" ref="E98" r:id="rId49"/>
    <hyperlink xmlns:r="http://schemas.openxmlformats.org/officeDocument/2006/relationships" ref="E99" r:id="rId50"/>
    <hyperlink xmlns:r="http://schemas.openxmlformats.org/officeDocument/2006/relationships" ref="E100" r:id="rId51"/>
    <hyperlink xmlns:r="http://schemas.openxmlformats.org/officeDocument/2006/relationships" ref="E101" r:id="rId52"/>
    <hyperlink xmlns:r="http://schemas.openxmlformats.org/officeDocument/2006/relationships" ref="E102" r:id="rId53"/>
    <hyperlink xmlns:r="http://schemas.openxmlformats.org/officeDocument/2006/relationships" ref="E103" r:id="rId54"/>
    <hyperlink xmlns:r="http://schemas.openxmlformats.org/officeDocument/2006/relationships" ref="E104" r:id="rId55"/>
    <hyperlink xmlns:r="http://schemas.openxmlformats.org/officeDocument/2006/relationships" ref="E105" r:id="rId56"/>
    <hyperlink xmlns:r="http://schemas.openxmlformats.org/officeDocument/2006/relationships" ref="E106" r:id="rId57"/>
    <hyperlink xmlns:r="http://schemas.openxmlformats.org/officeDocument/2006/relationships" ref="E107" r:id="rId58"/>
    <hyperlink xmlns:r="http://schemas.openxmlformats.org/officeDocument/2006/relationships" ref="E108" r:id="rId59"/>
    <hyperlink xmlns:r="http://schemas.openxmlformats.org/officeDocument/2006/relationships" ref="E109" r:id="rId60"/>
    <hyperlink xmlns:r="http://schemas.openxmlformats.org/officeDocument/2006/relationships" ref="E110" r:id="rId61"/>
    <hyperlink xmlns:r="http://schemas.openxmlformats.org/officeDocument/2006/relationships" ref="E111" r:id="rId62"/>
    <hyperlink xmlns:r="http://schemas.openxmlformats.org/officeDocument/2006/relationships" ref="E112" r:id="rId63"/>
    <hyperlink xmlns:r="http://schemas.openxmlformats.org/officeDocument/2006/relationships" ref="E113" r:id="rId64"/>
    <hyperlink xmlns:r="http://schemas.openxmlformats.org/officeDocument/2006/relationships" ref="E114" r:id="rId65"/>
    <hyperlink xmlns:r="http://schemas.openxmlformats.org/officeDocument/2006/relationships" ref="E115" r:id="rId66"/>
    <hyperlink xmlns:r="http://schemas.openxmlformats.org/officeDocument/2006/relationships" ref="E116" r:id="rId67"/>
    <hyperlink xmlns:r="http://schemas.openxmlformats.org/officeDocument/2006/relationships" ref="E117" r:id="rId68"/>
    <hyperlink xmlns:r="http://schemas.openxmlformats.org/officeDocument/2006/relationships" ref="E118" r:id="rId69"/>
    <hyperlink xmlns:r="http://schemas.openxmlformats.org/officeDocument/2006/relationships" ref="E119" r:id="rId70"/>
    <hyperlink xmlns:r="http://schemas.openxmlformats.org/officeDocument/2006/relationships" ref="E120" r:id="rId71"/>
    <hyperlink xmlns:r="http://schemas.openxmlformats.org/officeDocument/2006/relationships" ref="E121" r:id="rId72"/>
    <hyperlink xmlns:r="http://schemas.openxmlformats.org/officeDocument/2006/relationships" ref="E122" r:id="rId73"/>
    <hyperlink xmlns:r="http://schemas.openxmlformats.org/officeDocument/2006/relationships" ref="E123" r:id="rId74"/>
    <hyperlink xmlns:r="http://schemas.openxmlformats.org/officeDocument/2006/relationships" ref="E124" r:id="rId75"/>
    <hyperlink xmlns:r="http://schemas.openxmlformats.org/officeDocument/2006/relationships" ref="E125" r:id="rId76"/>
    <hyperlink xmlns:r="http://schemas.openxmlformats.org/officeDocument/2006/relationships" ref="E126" r:id="rId77"/>
    <hyperlink xmlns:r="http://schemas.openxmlformats.org/officeDocument/2006/relationships" ref="E127" r:id="rId78"/>
    <hyperlink xmlns:r="http://schemas.openxmlformats.org/officeDocument/2006/relationships" ref="E128" r:id="rId79"/>
    <hyperlink xmlns:r="http://schemas.openxmlformats.org/officeDocument/2006/relationships" ref="E129" r:id="rId80"/>
    <hyperlink xmlns:r="http://schemas.openxmlformats.org/officeDocument/2006/relationships" ref="E130" r:id="rId81"/>
    <hyperlink xmlns:r="http://schemas.openxmlformats.org/officeDocument/2006/relationships" ref="E131" r:id="rId82"/>
    <hyperlink xmlns:r="http://schemas.openxmlformats.org/officeDocument/2006/relationships" ref="E132" r:id="rId83"/>
    <hyperlink xmlns:r="http://schemas.openxmlformats.org/officeDocument/2006/relationships" ref="E133" r:id="rId84"/>
    <hyperlink xmlns:r="http://schemas.openxmlformats.org/officeDocument/2006/relationships" ref="E134" r:id="rId85"/>
    <hyperlink xmlns:r="http://schemas.openxmlformats.org/officeDocument/2006/relationships" ref="E135" r:id="rId86"/>
    <hyperlink xmlns:r="http://schemas.openxmlformats.org/officeDocument/2006/relationships" ref="E136" r:id="rId87"/>
    <hyperlink xmlns:r="http://schemas.openxmlformats.org/officeDocument/2006/relationships" ref="E137" r:id="rId88"/>
    <hyperlink xmlns:r="http://schemas.openxmlformats.org/officeDocument/2006/relationships" ref="E138" r:id="rId89"/>
    <hyperlink xmlns:r="http://schemas.openxmlformats.org/officeDocument/2006/relationships" ref="E139" r:id="rId90"/>
    <hyperlink xmlns:r="http://schemas.openxmlformats.org/officeDocument/2006/relationships" ref="E140" r:id="rId91"/>
    <hyperlink xmlns:r="http://schemas.openxmlformats.org/officeDocument/2006/relationships" ref="E141" r:id="rId92"/>
    <hyperlink xmlns:r="http://schemas.openxmlformats.org/officeDocument/2006/relationships" ref="E142" r:id="rId93"/>
    <hyperlink xmlns:r="http://schemas.openxmlformats.org/officeDocument/2006/relationships" ref="E143" r:id="rId94"/>
    <hyperlink xmlns:r="http://schemas.openxmlformats.org/officeDocument/2006/relationships" ref="E144" r:id="rId95"/>
    <hyperlink xmlns:r="http://schemas.openxmlformats.org/officeDocument/2006/relationships" ref="E145" r:id="rId96"/>
    <hyperlink xmlns:r="http://schemas.openxmlformats.org/officeDocument/2006/relationships" ref="E146" r:id="rId97"/>
    <hyperlink xmlns:r="http://schemas.openxmlformats.org/officeDocument/2006/relationships" ref="E147" r:id="rId98"/>
    <hyperlink xmlns:r="http://schemas.openxmlformats.org/officeDocument/2006/relationships" ref="E148" r:id="rId99"/>
    <hyperlink xmlns:r="http://schemas.openxmlformats.org/officeDocument/2006/relationships" ref="E149" r:id="rId100"/>
    <hyperlink xmlns:r="http://schemas.openxmlformats.org/officeDocument/2006/relationships" ref="E150" r:id="rId101"/>
    <hyperlink xmlns:r="http://schemas.openxmlformats.org/officeDocument/2006/relationships" ref="E151" r:id="rId102"/>
    <hyperlink xmlns:r="http://schemas.openxmlformats.org/officeDocument/2006/relationships" ref="E152" r:id="rId103"/>
    <hyperlink xmlns:r="http://schemas.openxmlformats.org/officeDocument/2006/relationships" ref="E153" r:id="rId104"/>
    <hyperlink xmlns:r="http://schemas.openxmlformats.org/officeDocument/2006/relationships" ref="E154" r:id="rId105"/>
    <hyperlink xmlns:r="http://schemas.openxmlformats.org/officeDocument/2006/relationships" ref="E155" r:id="rId106"/>
    <hyperlink xmlns:r="http://schemas.openxmlformats.org/officeDocument/2006/relationships" ref="E156" r:id="rId107"/>
    <hyperlink xmlns:r="http://schemas.openxmlformats.org/officeDocument/2006/relationships" ref="E157" r:id="rId108"/>
    <hyperlink xmlns:r="http://schemas.openxmlformats.org/officeDocument/2006/relationships" ref="E158" r:id="rId109"/>
    <hyperlink xmlns:r="http://schemas.openxmlformats.org/officeDocument/2006/relationships" ref="E159" r:id="rId110"/>
    <hyperlink xmlns:r="http://schemas.openxmlformats.org/officeDocument/2006/relationships" ref="E160" r:id="rId111"/>
    <hyperlink xmlns:r="http://schemas.openxmlformats.org/officeDocument/2006/relationships" ref="E161" r:id="rId112"/>
    <hyperlink xmlns:r="http://schemas.openxmlformats.org/officeDocument/2006/relationships" ref="E162" r:id="rId113"/>
    <hyperlink xmlns:r="http://schemas.openxmlformats.org/officeDocument/2006/relationships" ref="E163" r:id="rId114"/>
    <hyperlink xmlns:r="http://schemas.openxmlformats.org/officeDocument/2006/relationships" ref="E164" r:id="rId115"/>
    <hyperlink xmlns:r="http://schemas.openxmlformats.org/officeDocument/2006/relationships" ref="E165" r:id="rId116"/>
    <hyperlink xmlns:r="http://schemas.openxmlformats.org/officeDocument/2006/relationships" ref="E166" r:id="rId117"/>
    <hyperlink xmlns:r="http://schemas.openxmlformats.org/officeDocument/2006/relationships" ref="E167" r:id="rId118"/>
    <hyperlink xmlns:r="http://schemas.openxmlformats.org/officeDocument/2006/relationships" ref="E168" r:id="rId119"/>
    <hyperlink xmlns:r="http://schemas.openxmlformats.org/officeDocument/2006/relationships" ref="E169" r:id="rId120"/>
    <hyperlink xmlns:r="http://schemas.openxmlformats.org/officeDocument/2006/relationships" ref="E170" r:id="rId121"/>
    <hyperlink xmlns:r="http://schemas.openxmlformats.org/officeDocument/2006/relationships" ref="E172" r:id="rId122"/>
    <hyperlink xmlns:r="http://schemas.openxmlformats.org/officeDocument/2006/relationships" ref="E173" r:id="rId123"/>
    <hyperlink xmlns:r="http://schemas.openxmlformats.org/officeDocument/2006/relationships" ref="E174" r:id="rId124"/>
    <hyperlink xmlns:r="http://schemas.openxmlformats.org/officeDocument/2006/relationships" ref="E175" r:id="rId125"/>
    <hyperlink xmlns:r="http://schemas.openxmlformats.org/officeDocument/2006/relationships" ref="E176" r:id="rId126"/>
    <hyperlink xmlns:r="http://schemas.openxmlformats.org/officeDocument/2006/relationships" ref="E177" r:id="rId127"/>
    <hyperlink xmlns:r="http://schemas.openxmlformats.org/officeDocument/2006/relationships" ref="E178" r:id="rId128"/>
    <hyperlink xmlns:r="http://schemas.openxmlformats.org/officeDocument/2006/relationships" ref="E179" r:id="rId129"/>
    <hyperlink xmlns:r="http://schemas.openxmlformats.org/officeDocument/2006/relationships" ref="E180" r:id="rId130"/>
    <hyperlink xmlns:r="http://schemas.openxmlformats.org/officeDocument/2006/relationships" ref="E181" r:id="rId131"/>
    <hyperlink xmlns:r="http://schemas.openxmlformats.org/officeDocument/2006/relationships" ref="E182" r:id="rId132"/>
    <hyperlink xmlns:r="http://schemas.openxmlformats.org/officeDocument/2006/relationships" ref="E183" r:id="rId133"/>
    <hyperlink xmlns:r="http://schemas.openxmlformats.org/officeDocument/2006/relationships" ref="E184" r:id="rId134"/>
    <hyperlink xmlns:r="http://schemas.openxmlformats.org/officeDocument/2006/relationships" ref="E185" r:id="rId135"/>
    <hyperlink xmlns:r="http://schemas.openxmlformats.org/officeDocument/2006/relationships" ref="E186" r:id="rId136"/>
    <hyperlink xmlns:r="http://schemas.openxmlformats.org/officeDocument/2006/relationships" ref="E187" r:id="rId137"/>
    <hyperlink xmlns:r="http://schemas.openxmlformats.org/officeDocument/2006/relationships" ref="E188" r:id="rId138"/>
    <hyperlink xmlns:r="http://schemas.openxmlformats.org/officeDocument/2006/relationships" ref="E189" r:id="rId139"/>
    <hyperlink xmlns:r="http://schemas.openxmlformats.org/officeDocument/2006/relationships" ref="E190" r:id="rId140"/>
    <hyperlink xmlns:r="http://schemas.openxmlformats.org/officeDocument/2006/relationships" ref="E191" r:id="rId141"/>
    <hyperlink xmlns:r="http://schemas.openxmlformats.org/officeDocument/2006/relationships" ref="E192" r:id="rId142"/>
    <hyperlink xmlns:r="http://schemas.openxmlformats.org/officeDocument/2006/relationships" ref="E193" r:id="rId143"/>
    <hyperlink xmlns:r="http://schemas.openxmlformats.org/officeDocument/2006/relationships" ref="E194" r:id="rId144"/>
    <hyperlink xmlns:r="http://schemas.openxmlformats.org/officeDocument/2006/relationships" ref="E195" r:id="rId145"/>
    <hyperlink xmlns:r="http://schemas.openxmlformats.org/officeDocument/2006/relationships" ref="E196" r:id="rId146"/>
    <hyperlink xmlns:r="http://schemas.openxmlformats.org/officeDocument/2006/relationships" ref="E197" r:id="rId147"/>
    <hyperlink xmlns:r="http://schemas.openxmlformats.org/officeDocument/2006/relationships" ref="E198" r:id="rId148"/>
    <hyperlink xmlns:r="http://schemas.openxmlformats.org/officeDocument/2006/relationships" ref="E199" r:id="rId149"/>
    <hyperlink xmlns:r="http://schemas.openxmlformats.org/officeDocument/2006/relationships" ref="E200" r:id="rId150"/>
    <hyperlink xmlns:r="http://schemas.openxmlformats.org/officeDocument/2006/relationships" ref="E201" r:id="rId151"/>
    <hyperlink xmlns:r="http://schemas.openxmlformats.org/officeDocument/2006/relationships" ref="E202" r:id="rId152"/>
    <hyperlink xmlns:r="http://schemas.openxmlformats.org/officeDocument/2006/relationships" ref="E203" r:id="rId153"/>
    <hyperlink xmlns:r="http://schemas.openxmlformats.org/officeDocument/2006/relationships" ref="E204" r:id="rId154"/>
    <hyperlink xmlns:r="http://schemas.openxmlformats.org/officeDocument/2006/relationships" ref="E205" r:id="rId155"/>
    <hyperlink xmlns:r="http://schemas.openxmlformats.org/officeDocument/2006/relationships" ref="E206" r:id="rId156"/>
    <hyperlink xmlns:r="http://schemas.openxmlformats.org/officeDocument/2006/relationships" ref="E207" r:id="rId157"/>
    <hyperlink xmlns:r="http://schemas.openxmlformats.org/officeDocument/2006/relationships" ref="E208" r:id="rId158"/>
    <hyperlink xmlns:r="http://schemas.openxmlformats.org/officeDocument/2006/relationships" ref="E209" r:id="rId159"/>
    <hyperlink xmlns:r="http://schemas.openxmlformats.org/officeDocument/2006/relationships" ref="E210" r:id="rId160"/>
    <hyperlink xmlns:r="http://schemas.openxmlformats.org/officeDocument/2006/relationships" ref="E211" r:id="rId161"/>
    <hyperlink xmlns:r="http://schemas.openxmlformats.org/officeDocument/2006/relationships" ref="E212" r:id="rId162"/>
    <hyperlink xmlns:r="http://schemas.openxmlformats.org/officeDocument/2006/relationships" ref="E213" r:id="rId163"/>
    <hyperlink xmlns:r="http://schemas.openxmlformats.org/officeDocument/2006/relationships" ref="E214" r:id="rId164"/>
    <hyperlink xmlns:r="http://schemas.openxmlformats.org/officeDocument/2006/relationships" ref="E215" r:id="rId165"/>
    <hyperlink xmlns:r="http://schemas.openxmlformats.org/officeDocument/2006/relationships" ref="E216" r:id="rId166"/>
    <hyperlink xmlns:r="http://schemas.openxmlformats.org/officeDocument/2006/relationships" ref="E217" r:id="rId167"/>
    <hyperlink xmlns:r="http://schemas.openxmlformats.org/officeDocument/2006/relationships" ref="E218" r:id="rId168"/>
    <hyperlink xmlns:r="http://schemas.openxmlformats.org/officeDocument/2006/relationships" ref="E219" r:id="rId169"/>
    <hyperlink xmlns:r="http://schemas.openxmlformats.org/officeDocument/2006/relationships" ref="E220" r:id="rId170"/>
    <hyperlink xmlns:r="http://schemas.openxmlformats.org/officeDocument/2006/relationships" ref="E221" r:id="rId171"/>
    <hyperlink xmlns:r="http://schemas.openxmlformats.org/officeDocument/2006/relationships" ref="E222" r:id="rId172"/>
    <hyperlink xmlns:r="http://schemas.openxmlformats.org/officeDocument/2006/relationships" ref="E223" r:id="rId173"/>
    <hyperlink xmlns:r="http://schemas.openxmlformats.org/officeDocument/2006/relationships" ref="E224" r:id="rId174"/>
    <hyperlink xmlns:r="http://schemas.openxmlformats.org/officeDocument/2006/relationships" ref="E225" r:id="rId175"/>
    <hyperlink xmlns:r="http://schemas.openxmlformats.org/officeDocument/2006/relationships" ref="E226" r:id="rId176"/>
    <hyperlink xmlns:r="http://schemas.openxmlformats.org/officeDocument/2006/relationships" ref="E227" r:id="rId177"/>
    <hyperlink xmlns:r="http://schemas.openxmlformats.org/officeDocument/2006/relationships" ref="E228" r:id="rId178"/>
    <hyperlink xmlns:r="http://schemas.openxmlformats.org/officeDocument/2006/relationships" ref="E229" r:id="rId179"/>
    <hyperlink xmlns:r="http://schemas.openxmlformats.org/officeDocument/2006/relationships" ref="E230" r:id="rId180"/>
    <hyperlink xmlns:r="http://schemas.openxmlformats.org/officeDocument/2006/relationships" ref="E231" r:id="rId181"/>
    <hyperlink xmlns:r="http://schemas.openxmlformats.org/officeDocument/2006/relationships" ref="E232" r:id="rId182"/>
    <hyperlink xmlns:r="http://schemas.openxmlformats.org/officeDocument/2006/relationships" ref="E233" r:id="rId183"/>
    <hyperlink xmlns:r="http://schemas.openxmlformats.org/officeDocument/2006/relationships" ref="E234" r:id="rId184"/>
    <hyperlink xmlns:r="http://schemas.openxmlformats.org/officeDocument/2006/relationships" ref="E235" r:id="rId185"/>
    <hyperlink xmlns:r="http://schemas.openxmlformats.org/officeDocument/2006/relationships" ref="E236" r:id="rId186"/>
    <hyperlink xmlns:r="http://schemas.openxmlformats.org/officeDocument/2006/relationships" ref="E237" r:id="rId187"/>
    <hyperlink xmlns:r="http://schemas.openxmlformats.org/officeDocument/2006/relationships" ref="E238" r:id="rId188"/>
    <hyperlink xmlns:r="http://schemas.openxmlformats.org/officeDocument/2006/relationships" ref="E239" r:id="rId189"/>
    <hyperlink xmlns:r="http://schemas.openxmlformats.org/officeDocument/2006/relationships" ref="E240" r:id="rId190"/>
    <hyperlink xmlns:r="http://schemas.openxmlformats.org/officeDocument/2006/relationships" ref="E241" r:id="rId191"/>
    <hyperlink xmlns:r="http://schemas.openxmlformats.org/officeDocument/2006/relationships" ref="E242" r:id="rId192"/>
    <hyperlink xmlns:r="http://schemas.openxmlformats.org/officeDocument/2006/relationships" ref="E243" r:id="rId193"/>
    <hyperlink xmlns:r="http://schemas.openxmlformats.org/officeDocument/2006/relationships" ref="E244" r:id="rId194"/>
    <hyperlink xmlns:r="http://schemas.openxmlformats.org/officeDocument/2006/relationships" ref="E245" r:id="rId195"/>
    <hyperlink xmlns:r="http://schemas.openxmlformats.org/officeDocument/2006/relationships" ref="E246" r:id="rId196"/>
    <hyperlink xmlns:r="http://schemas.openxmlformats.org/officeDocument/2006/relationships" ref="E247" r:id="rId197"/>
    <hyperlink xmlns:r="http://schemas.openxmlformats.org/officeDocument/2006/relationships" ref="E248" r:id="rId198"/>
    <hyperlink xmlns:r="http://schemas.openxmlformats.org/officeDocument/2006/relationships" ref="E249" r:id="rId199"/>
    <hyperlink xmlns:r="http://schemas.openxmlformats.org/officeDocument/2006/relationships" ref="E250" r:id="rId200"/>
    <hyperlink xmlns:r="http://schemas.openxmlformats.org/officeDocument/2006/relationships" ref="E251" r:id="rId201"/>
    <hyperlink xmlns:r="http://schemas.openxmlformats.org/officeDocument/2006/relationships" ref="E252" r:id="rId202"/>
    <hyperlink xmlns:r="http://schemas.openxmlformats.org/officeDocument/2006/relationships" ref="E253" r:id="rId203"/>
    <hyperlink xmlns:r="http://schemas.openxmlformats.org/officeDocument/2006/relationships" ref="E254" r:id="rId204"/>
    <hyperlink xmlns:r="http://schemas.openxmlformats.org/officeDocument/2006/relationships" ref="E255" r:id="rId205"/>
    <hyperlink xmlns:r="http://schemas.openxmlformats.org/officeDocument/2006/relationships" ref="E256" r:id="rId206"/>
    <hyperlink xmlns:r="http://schemas.openxmlformats.org/officeDocument/2006/relationships" ref="E257" r:id="rId207"/>
    <hyperlink xmlns:r="http://schemas.openxmlformats.org/officeDocument/2006/relationships" ref="E258" r:id="rId208"/>
    <hyperlink xmlns:r="http://schemas.openxmlformats.org/officeDocument/2006/relationships" ref="E259" r:id="rId209"/>
    <hyperlink xmlns:r="http://schemas.openxmlformats.org/officeDocument/2006/relationships" ref="E260" r:id="rId210"/>
    <hyperlink xmlns:r="http://schemas.openxmlformats.org/officeDocument/2006/relationships" ref="E261" r:id="rId211"/>
    <hyperlink xmlns:r="http://schemas.openxmlformats.org/officeDocument/2006/relationships" ref="E262" r:id="rId212"/>
    <hyperlink xmlns:r="http://schemas.openxmlformats.org/officeDocument/2006/relationships" ref="E263" r:id="rId213"/>
    <hyperlink xmlns:r="http://schemas.openxmlformats.org/officeDocument/2006/relationships" ref="E264" r:id="rId214"/>
    <hyperlink xmlns:r="http://schemas.openxmlformats.org/officeDocument/2006/relationships" ref="E265" r:id="rId215"/>
    <hyperlink xmlns:r="http://schemas.openxmlformats.org/officeDocument/2006/relationships" ref="E266" r:id="rId216"/>
    <hyperlink xmlns:r="http://schemas.openxmlformats.org/officeDocument/2006/relationships" ref="E267" r:id="rId217"/>
    <hyperlink xmlns:r="http://schemas.openxmlformats.org/officeDocument/2006/relationships" ref="E268" r:id="rId218"/>
    <hyperlink xmlns:r="http://schemas.openxmlformats.org/officeDocument/2006/relationships" ref="E269" r:id="rId219"/>
    <hyperlink xmlns:r="http://schemas.openxmlformats.org/officeDocument/2006/relationships" ref="E270" r:id="rId220"/>
    <hyperlink xmlns:r="http://schemas.openxmlformats.org/officeDocument/2006/relationships" ref="E271" r:id="rId221"/>
    <hyperlink xmlns:r="http://schemas.openxmlformats.org/officeDocument/2006/relationships" ref="E272" r:id="rId222"/>
    <hyperlink xmlns:r="http://schemas.openxmlformats.org/officeDocument/2006/relationships" ref="E273" r:id="rId223"/>
    <hyperlink xmlns:r="http://schemas.openxmlformats.org/officeDocument/2006/relationships" ref="E274" r:id="rId224"/>
    <hyperlink xmlns:r="http://schemas.openxmlformats.org/officeDocument/2006/relationships" ref="E275" r:id="rId225"/>
    <hyperlink xmlns:r="http://schemas.openxmlformats.org/officeDocument/2006/relationships" ref="E276" r:id="rId226"/>
    <hyperlink xmlns:r="http://schemas.openxmlformats.org/officeDocument/2006/relationships" ref="E277" r:id="rId227"/>
    <hyperlink xmlns:r="http://schemas.openxmlformats.org/officeDocument/2006/relationships" ref="E278" r:id="rId228"/>
    <hyperlink xmlns:r="http://schemas.openxmlformats.org/officeDocument/2006/relationships" ref="E279" r:id="rId229"/>
    <hyperlink xmlns:r="http://schemas.openxmlformats.org/officeDocument/2006/relationships" ref="E280" r:id="rId230"/>
    <hyperlink xmlns:r="http://schemas.openxmlformats.org/officeDocument/2006/relationships" ref="E281" r:id="rId231"/>
    <hyperlink xmlns:r="http://schemas.openxmlformats.org/officeDocument/2006/relationships" ref="E282" r:id="rId232"/>
    <hyperlink xmlns:r="http://schemas.openxmlformats.org/officeDocument/2006/relationships" ref="E283" r:id="rId233"/>
    <hyperlink xmlns:r="http://schemas.openxmlformats.org/officeDocument/2006/relationships" ref="E284" r:id="rId234"/>
    <hyperlink xmlns:r="http://schemas.openxmlformats.org/officeDocument/2006/relationships" ref="E285" r:id="rId235"/>
    <hyperlink xmlns:r="http://schemas.openxmlformats.org/officeDocument/2006/relationships" ref="E286" r:id="rId236"/>
    <hyperlink xmlns:r="http://schemas.openxmlformats.org/officeDocument/2006/relationships" ref="E287" r:id="rId237"/>
    <hyperlink xmlns:r="http://schemas.openxmlformats.org/officeDocument/2006/relationships" ref="E288" r:id="rId238"/>
    <hyperlink xmlns:r="http://schemas.openxmlformats.org/officeDocument/2006/relationships" ref="E289" r:id="rId239"/>
    <hyperlink xmlns:r="http://schemas.openxmlformats.org/officeDocument/2006/relationships" ref="E290" r:id="rId240"/>
    <hyperlink xmlns:r="http://schemas.openxmlformats.org/officeDocument/2006/relationships" ref="E291" r:id="rId241"/>
    <hyperlink xmlns:r="http://schemas.openxmlformats.org/officeDocument/2006/relationships" ref="E292" r:id="rId242"/>
    <hyperlink xmlns:r="http://schemas.openxmlformats.org/officeDocument/2006/relationships" ref="E293" r:id="rId243"/>
    <hyperlink xmlns:r="http://schemas.openxmlformats.org/officeDocument/2006/relationships" ref="E294" r:id="rId244"/>
    <hyperlink xmlns:r="http://schemas.openxmlformats.org/officeDocument/2006/relationships" ref="E295" r:id="rId245"/>
    <hyperlink xmlns:r="http://schemas.openxmlformats.org/officeDocument/2006/relationships" ref="E296" r:id="rId246"/>
    <hyperlink xmlns:r="http://schemas.openxmlformats.org/officeDocument/2006/relationships" ref="E297" r:id="rId247"/>
    <hyperlink xmlns:r="http://schemas.openxmlformats.org/officeDocument/2006/relationships" ref="E298" r:id="rId248"/>
    <hyperlink xmlns:r="http://schemas.openxmlformats.org/officeDocument/2006/relationships" ref="E299" r:id="rId249"/>
    <hyperlink xmlns:r="http://schemas.openxmlformats.org/officeDocument/2006/relationships" ref="E300" r:id="rId250"/>
    <hyperlink xmlns:r="http://schemas.openxmlformats.org/officeDocument/2006/relationships" ref="E301" r:id="rId251"/>
    <hyperlink xmlns:r="http://schemas.openxmlformats.org/officeDocument/2006/relationships" ref="E302" r:id="rId252"/>
    <hyperlink xmlns:r="http://schemas.openxmlformats.org/officeDocument/2006/relationships" ref="E303" r:id="rId253"/>
    <hyperlink xmlns:r="http://schemas.openxmlformats.org/officeDocument/2006/relationships" ref="E304" r:id="rId254"/>
    <hyperlink xmlns:r="http://schemas.openxmlformats.org/officeDocument/2006/relationships" ref="E305" r:id="rId255"/>
    <hyperlink xmlns:r="http://schemas.openxmlformats.org/officeDocument/2006/relationships" ref="E306" r:id="rId256"/>
    <hyperlink xmlns:r="http://schemas.openxmlformats.org/officeDocument/2006/relationships" ref="E307" r:id="rId257"/>
    <hyperlink xmlns:r="http://schemas.openxmlformats.org/officeDocument/2006/relationships" ref="E308" r:id="rId258"/>
    <hyperlink xmlns:r="http://schemas.openxmlformats.org/officeDocument/2006/relationships" ref="E309" r:id="rId259"/>
    <hyperlink xmlns:r="http://schemas.openxmlformats.org/officeDocument/2006/relationships" ref="E310" r:id="rId260"/>
    <hyperlink xmlns:r="http://schemas.openxmlformats.org/officeDocument/2006/relationships" ref="E311" r:id="rId261"/>
    <hyperlink xmlns:r="http://schemas.openxmlformats.org/officeDocument/2006/relationships" ref="E312" r:id="rId262"/>
    <hyperlink xmlns:r="http://schemas.openxmlformats.org/officeDocument/2006/relationships" ref="E313" r:id="rId263"/>
    <hyperlink xmlns:r="http://schemas.openxmlformats.org/officeDocument/2006/relationships" ref="E314" r:id="rId264"/>
    <hyperlink xmlns:r="http://schemas.openxmlformats.org/officeDocument/2006/relationships" ref="E315" r:id="rId265"/>
    <hyperlink xmlns:r="http://schemas.openxmlformats.org/officeDocument/2006/relationships" ref="E316" r:id="rId266"/>
    <hyperlink xmlns:r="http://schemas.openxmlformats.org/officeDocument/2006/relationships" ref="E317" r:id="rId267"/>
    <hyperlink xmlns:r="http://schemas.openxmlformats.org/officeDocument/2006/relationships" ref="E319" r:id="rId268"/>
    <hyperlink xmlns:r="http://schemas.openxmlformats.org/officeDocument/2006/relationships" ref="E320" r:id="rId269"/>
    <hyperlink xmlns:r="http://schemas.openxmlformats.org/officeDocument/2006/relationships" ref="E321" r:id="rId270"/>
    <hyperlink xmlns:r="http://schemas.openxmlformats.org/officeDocument/2006/relationships" ref="E322" r:id="rId271"/>
    <hyperlink xmlns:r="http://schemas.openxmlformats.org/officeDocument/2006/relationships" ref="E323" r:id="rId272"/>
    <hyperlink xmlns:r="http://schemas.openxmlformats.org/officeDocument/2006/relationships" ref="E324" r:id="rId273"/>
    <hyperlink xmlns:r="http://schemas.openxmlformats.org/officeDocument/2006/relationships" ref="E325" r:id="rId274"/>
    <hyperlink xmlns:r="http://schemas.openxmlformats.org/officeDocument/2006/relationships" ref="E326" r:id="rId275"/>
    <hyperlink xmlns:r="http://schemas.openxmlformats.org/officeDocument/2006/relationships" ref="E327" r:id="rId2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7" customWidth="1" min="4" max="4"/>
    <col width="13" customWidth="1" min="5" max="5"/>
    <col width="15" customWidth="1" min="6" max="6"/>
    <col width="39" customWidth="1" min="7" max="7"/>
    <col width="27" customWidth="1" min="8" max="8"/>
    <col width="18" customWidth="1" min="9" max="9"/>
    <col width="50" customWidth="1" min="10" max="10"/>
    <col width="46" customWidth="1" min="11" max="11"/>
  </cols>
  <sheetData>
    <row r="1">
      <c r="A1" s="1" t="inlineStr">
        <is>
          <t>seq</t>
        </is>
      </c>
      <c r="B1" s="1" t="inlineStr">
        <is>
          <t>縣市</t>
        </is>
      </c>
      <c r="C1" s="1" t="inlineStr">
        <is>
          <t>code</t>
        </is>
      </c>
      <c r="D1" s="1" t="inlineStr">
        <is>
          <t>slug</t>
        </is>
      </c>
      <c r="E1" s="1" t="inlineStr">
        <is>
          <t>region</t>
        </is>
      </c>
      <c r="F1" s="1" t="inlineStr">
        <is>
          <t>type</t>
        </is>
      </c>
      <c r="G1" s="1" t="inlineStr">
        <is>
          <t>type_file</t>
        </is>
      </c>
      <c r="H1" s="1" t="inlineStr">
        <is>
          <t>zone</t>
        </is>
      </c>
      <c r="I1" s="1" t="inlineStr">
        <is>
          <t>research_status</t>
        </is>
      </c>
      <c r="J1" s="1" t="inlineStr">
        <is>
          <t>notes</t>
        </is>
      </c>
      <c r="K1" s="1" t="inlineStr">
        <is>
          <t>建案數</t>
        </is>
      </c>
    </row>
    <row r="2">
      <c r="A2" s="5" t="n">
        <v>1</v>
      </c>
      <c r="B2" s="5" t="inlineStr">
        <is>
          <t>臺北市</t>
        </is>
      </c>
      <c r="C2" s="5" t="inlineStr">
        <is>
          <t>A21001</t>
        </is>
      </c>
      <c r="D2" s="5" t="inlineStr">
        <is>
          <t>taipei</t>
        </is>
      </c>
      <c r="E2" s="5" t="inlineStr">
        <is>
          <t>六大直轄市</t>
        </is>
      </c>
      <c r="F2" s="5" t="inlineStr">
        <is>
          <t>公辦市地重劃</t>
        </is>
      </c>
      <c r="G2" s="5" t="inlineStr">
        <is>
          <t>public-urban-land-readjustment.html</t>
        </is>
      </c>
      <c r="H2" s="5" t="inlineStr">
        <is>
          <t>南港公辦重劃</t>
        </is>
      </c>
      <c r="I2" s="5" t="inlineStr">
        <is>
          <t>researched</t>
        </is>
      </c>
      <c r="J2" s="5" t="inlineStr">
        <is>
          <t>對應南港三期公辦市地重劃（南港軟體園區三期周邊、三重路/向揚路一帶）。建案落區判斷：L3市場列表（樂居、PLEX、5168）以地址（三重路39號衡岄、成功路一段遠雄宜進、松河街東方大境）對照重劃區地籍大致範圍；精確邊界仍須以臺北市地政局重劃前後地號對照表（L2/L1）套繪GIS確認。遠雄宜進I-CITY位於成功路一段，介於南港三期重劃與南港車站特定專用區之間，是否完全落入重劃區內建議後續以L2邊界複核。</t>
        </is>
      </c>
      <c r="K2" s="5">
        <f>COUNTIFS(建案總表_642案!$C$2:$C$643,$C2)</f>
        <v/>
      </c>
    </row>
    <row r="3">
      <c r="A3" s="5" t="n">
        <v>2</v>
      </c>
      <c r="B3" s="5" t="inlineStr">
        <is>
          <t>臺北市</t>
        </is>
      </c>
      <c r="C3" s="5" t="inlineStr">
        <is>
          <t>A21001</t>
        </is>
      </c>
      <c r="D3" s="5" t="inlineStr">
        <is>
          <t>taipei</t>
        </is>
      </c>
      <c r="E3" s="5" t="inlineStr">
        <is>
          <t>六大直轄市</t>
        </is>
      </c>
      <c r="F3" s="5" t="inlineStr">
        <is>
          <t>公辦市地重劃</t>
        </is>
      </c>
      <c r="G3" s="5" t="inlineStr">
        <is>
          <t>public-urban-land-readjustment.html</t>
        </is>
      </c>
      <c r="H3" s="5" t="inlineStr">
        <is>
          <t>內湖小型公辦重劃</t>
        </is>
      </c>
      <c r="I3" s="5" t="inlineStr">
        <is>
          <t>researched</t>
        </is>
      </c>
      <c r="J3" s="5" t="inlineStr">
        <is>
          <t>對應內湖葫洲/成功路五段一帶之小型公辦重劃（591實價登錄標註為「第四期重劃區」、永慶標註為「葫洲捷運二期重劃區」）。建案落區判斷：L3市場物件地址（成功路五段45巷、成功路五段450巷、成功路五段）與重劃區標註一致；惟內湖此區並非單一大型公辦重劃案，而是零散多期重劃，精確邊界與是否為「公辦」仍須查臺北市地政局重劃前後地號對照表（L1）確認，部分社區可能屬自辦或區段徵收周邊。</t>
        </is>
      </c>
      <c r="K3" s="5">
        <f>COUNTIFS(建案總表_642案!$C$2:$C$643,$C3)</f>
        <v/>
      </c>
    </row>
    <row r="4">
      <c r="A4" s="5" t="n">
        <v>3</v>
      </c>
      <c r="B4" s="5" t="inlineStr">
        <is>
          <t>臺北市</t>
        </is>
      </c>
      <c r="C4" s="5" t="inlineStr">
        <is>
          <t>A21001</t>
        </is>
      </c>
      <c r="D4" s="5" t="inlineStr">
        <is>
          <t>taipei</t>
        </is>
      </c>
      <c r="E4" s="5" t="inlineStr">
        <is>
          <t>六大直轄市</t>
        </is>
      </c>
      <c r="F4" s="5" t="inlineStr">
        <is>
          <t>自辦市地重劃</t>
        </is>
      </c>
      <c r="G4" s="5" t="inlineStr">
        <is>
          <t>private-urban-land-readjustment.html</t>
        </is>
      </c>
      <c r="H4" s="5" t="inlineStr">
        <is>
          <t>零星小型自辦案</t>
        </is>
      </c>
      <c r="I4" s="5" t="inlineStr">
        <is>
          <t>no_named_zone</t>
        </is>
      </c>
      <c r="J4" s="5" t="inlineStr">
        <is>
          <t>本筆為佔位型案名，對應臺北市零星分布之小型自辦市地重劃（無單一連續範圍、無正式區名）。經檢索政府資料開放平臺「臺北市自辦市地重劃成果」與Google，臺北市自辦重劃規模普遍極小且分散，並未形成可供單獨列舉之住宅社區群，亦無市場網站以「自辦重劃區」為單位整理建案。故 builds 留空；後續若需補充，應以地政局自辦重劃成果清單逐案套繪GIS後再列舉。</t>
        </is>
      </c>
      <c r="K4" s="5">
        <f>COUNTIFS(建案總表_642案!$C$2:$C$643,$C4)</f>
        <v/>
      </c>
    </row>
    <row r="5">
      <c r="A5" s="5" t="n">
        <v>4</v>
      </c>
      <c r="B5" s="5" t="inlineStr">
        <is>
          <t>臺北市</t>
        </is>
      </c>
      <c r="C5" s="5" t="inlineStr">
        <is>
          <t>A21001</t>
        </is>
      </c>
      <c r="D5" s="5" t="inlineStr">
        <is>
          <t>taipei</t>
        </is>
      </c>
      <c r="E5" s="5" t="inlineStr">
        <is>
          <t>六大直轄市</t>
        </is>
      </c>
      <c r="F5" s="5" t="inlineStr">
        <is>
          <t>都市更新</t>
        </is>
      </c>
      <c r="G5" s="5" t="inlineStr">
        <is>
          <t>urban-renewal.html</t>
        </is>
      </c>
      <c r="H5" s="5" t="inlineStr">
        <is>
          <t>西門公辦都更</t>
        </is>
      </c>
      <c r="I5" s="5" t="inlineStr">
        <is>
          <t>researched</t>
        </is>
      </c>
      <c r="J5" s="5" t="inlineStr">
        <is>
          <t>對應西門町（萬華區/中正區西門商圈）一帶之公辦/聯辦都市更新案。建案落區判斷：財團法人都市更新研究發展基金會官網（ur.org.tw）刊載西門町再更新相關案例（中華大樓案、福星段二小段576地號漢口街案），地址位於西門商圈核心。數字欄位（戶數/坪數/單價/推出年）在基金會新聞稿中未載明，故留空；精確規格須查臺北市都市更新處事業計畫核定書（L1）或後續實價登錄。</t>
        </is>
      </c>
      <c r="K5" s="5">
        <f>COUNTIFS(建案總表_642案!$C$2:$C$643,$C5)</f>
        <v/>
      </c>
    </row>
    <row r="6">
      <c r="A6" s="5" t="n">
        <v>5</v>
      </c>
      <c r="B6" s="5" t="inlineStr">
        <is>
          <t>臺北市</t>
        </is>
      </c>
      <c r="C6" s="5" t="inlineStr">
        <is>
          <t>A21001</t>
        </is>
      </c>
      <c r="D6" s="5" t="inlineStr">
        <is>
          <t>taipei</t>
        </is>
      </c>
      <c r="E6" s="5" t="inlineStr">
        <is>
          <t>六大直轄市</t>
        </is>
      </c>
      <c r="F6" s="5" t="inlineStr">
        <is>
          <t>都市更新</t>
        </is>
      </c>
      <c r="G6" s="5" t="inlineStr">
        <is>
          <t>urban-renewal.html</t>
        </is>
      </c>
      <c r="H6" s="5" t="inlineStr">
        <is>
          <t>南港公辦都更</t>
        </is>
      </c>
      <c r="I6" s="5" t="inlineStr">
        <is>
          <t>researched</t>
        </is>
      </c>
      <c r="J6" s="5" t="inlineStr">
        <is>
          <t>對應南港區公辦都市更新（含台鐵南港調車場、南港機廠、玉成段、台電CR-1等公有/公辦更新單元）。建案落區判斷：ur.org.tw與臺北市住宅及都市更新中心（thurc.org.taipei）官方資料載明位置（市民大道七段/忠孝東路七段/南港段），均位於南港區東側公辦都算廊帶。南港調車場主體為商辦/會展/交通複合開發，住宅比例低；南港機廠社宅為社會住宅（非市場銷售）；玉成段案2026年才招商成功，尚未進入銷售階段，故價格欄位留空。</t>
        </is>
      </c>
      <c r="K6" s="5">
        <f>COUNTIFS(建案總表_642案!$C$2:$C$643,$C6)</f>
        <v/>
      </c>
    </row>
    <row r="7">
      <c r="A7" s="5" t="n">
        <v>6</v>
      </c>
      <c r="B7" s="5" t="inlineStr">
        <is>
          <t>臺北市</t>
        </is>
      </c>
      <c r="C7" s="5" t="inlineStr">
        <is>
          <t>A21001</t>
        </is>
      </c>
      <c r="D7" s="5" t="inlineStr">
        <is>
          <t>taipei</t>
        </is>
      </c>
      <c r="E7" s="5" t="inlineStr">
        <is>
          <t>六大直轄市</t>
        </is>
      </c>
      <c r="F7" s="5" t="inlineStr">
        <is>
          <t>都市更新</t>
        </is>
      </c>
      <c r="G7" s="5" t="inlineStr">
        <is>
          <t>urban-renewal.html</t>
        </is>
      </c>
      <c r="H7" s="5" t="inlineStr">
        <is>
          <t>萬華公辦都更</t>
        </is>
      </c>
      <c r="I7" s="5" t="inlineStr">
        <is>
          <t>researched</t>
        </is>
      </c>
      <c r="J7" s="5" t="inlineStr">
        <is>
          <t>對應萬華區公辦都更/公有資產活化轉社會住宅案。建案落區判斷：國家住宅及都市更新中心官方網站（socialhousing.tw）與內政部國土署新聞稿載明地址為萬華區環河南路二段280巷6弄21、23號（華江國小旁，前身為西區憲兵隊、台糖停車場），A/B棟地上13及14層。本案為中央社會住宅（只租不售），故無市場單價；其餘萬華區民間都更案（如店面/透天更新）未列入，因不符「公辦都更」範圍。</t>
        </is>
      </c>
      <c r="K7" s="5">
        <f>COUNTIFS(建案總表_642案!$C$2:$C$643,$C7)</f>
        <v/>
      </c>
    </row>
    <row r="8">
      <c r="A8" s="5" t="n">
        <v>7</v>
      </c>
      <c r="B8" s="5" t="inlineStr">
        <is>
          <t>新北市</t>
        </is>
      </c>
      <c r="C8" s="5" t="inlineStr">
        <is>
          <t>A21002</t>
        </is>
      </c>
      <c r="D8" s="5" t="inlineStr">
        <is>
          <t>new-taipei</t>
        </is>
      </c>
      <c r="E8" s="5" t="inlineStr">
        <is>
          <t>六大直轄市</t>
        </is>
      </c>
      <c r="F8" s="5" t="inlineStr">
        <is>
          <t>公辦市地重劃</t>
        </is>
      </c>
      <c r="G8" s="5" t="inlineStr">
        <is>
          <t>public-urban-land-readjustment.html</t>
        </is>
      </c>
      <c r="H8" s="5" t="inlineStr">
        <is>
          <t>塭仔圳重劃</t>
        </is>
      </c>
      <c r="I8" s="5" t="inlineStr">
        <is>
          <t>researched</t>
        </is>
      </c>
      <c r="J8" s="5" t="inlineStr">
        <is>
          <t>新、泰塭仔圳市地重劃橫跨新莊、泰山，面積約397公頃，分一、二區。以上個案由591新建案/5168實價登錄/MYDAChi之「塭仔圳重劃區」生活圈標籤及泰山區中環路二段、莊泰路、莊田路地址判定落在區內。重劃仍在開發中，抵費地標售與社宅(新莊塭仔圳青年社宅920戶)陸續推進，完整個案數待後續市場揭露。百達莊園實際座落新泰自辦重劃區、緊鄰塭仔圳，市場頁常以「塭仔圳重劃區」生活圈標示。</t>
        </is>
      </c>
      <c r="K8" s="5">
        <f>COUNTIFS(建案總表_642案!$C$2:$C$643,$C8)</f>
        <v/>
      </c>
    </row>
    <row r="9">
      <c r="A9" s="5" t="n">
        <v>8</v>
      </c>
      <c r="B9" s="5" t="inlineStr">
        <is>
          <t>新北市</t>
        </is>
      </c>
      <c r="C9" s="5" t="inlineStr">
        <is>
          <t>A21002</t>
        </is>
      </c>
      <c r="D9" s="5" t="inlineStr">
        <is>
          <t>new-taipei</t>
        </is>
      </c>
      <c r="E9" s="5" t="inlineStr">
        <is>
          <t>六大直轄市</t>
        </is>
      </c>
      <c r="F9" s="5" t="inlineStr">
        <is>
          <t>公辦市地重劃</t>
        </is>
      </c>
      <c r="G9" s="5" t="inlineStr">
        <is>
          <t>public-urban-land-readjustment.html</t>
        </is>
      </c>
      <c r="H9" s="5" t="inlineStr">
        <is>
          <t>土城暫緩發展區重劃</t>
        </is>
      </c>
      <c r="I9" s="5" t="inlineStr">
        <is>
          <t>researched</t>
        </is>
      </c>
      <c r="J9" s="5" t="inlineStr">
        <is>
          <t>新北市地政局公辦市地重劃專頁確認本區範圍：東以青雲路、西以學府路東側、南以金城路及明德路北側、北以工五(大同公司)及文高(海山高工)為界(https://www.land.ntpc.gov.tw/cp.aspx?n=8806)。查591/樂居/新聞，本區仍處重劃開發與土地整頓階段，尚無明確以「暫緩發展區重劃」標榜之集合住宅個案列表；區域內多為都更案(沛陂段工業區、大巒段、樂利段)與土城司法園區/行政園區公開開發，非一般住宅预售個案，故builds暫留空。</t>
        </is>
      </c>
      <c r="K9" s="5">
        <f>COUNTIFS(建案總表_642案!$C$2:$C$643,$C9)</f>
        <v/>
      </c>
    </row>
    <row r="10">
      <c r="A10" s="5" t="n">
        <v>9</v>
      </c>
      <c r="B10" s="5" t="inlineStr">
        <is>
          <t>新北市</t>
        </is>
      </c>
      <c r="C10" s="5" t="inlineStr">
        <is>
          <t>A21002</t>
        </is>
      </c>
      <c r="D10" s="5" t="inlineStr">
        <is>
          <t>new-taipei</t>
        </is>
      </c>
      <c r="E10" s="5" t="inlineStr">
        <is>
          <t>六大直轄市</t>
        </is>
      </c>
      <c r="F10" s="5" t="inlineStr">
        <is>
          <t>公辦市地重劃</t>
        </is>
      </c>
      <c r="G10" s="5" t="inlineStr">
        <is>
          <t>public-urban-land-readjustment.html</t>
        </is>
      </c>
      <c r="H10" s="5" t="inlineStr">
        <is>
          <t>板橋浮洲重劃</t>
        </is>
      </c>
      <c r="I10" s="5" t="inlineStr">
        <is>
          <t>researched</t>
        </is>
      </c>
      <c r="J10" s="5" t="inlineStr">
        <is>
          <t>浮洲地區以浮洲合宜住宅(日勝生活科技興建，A2/A3/A6三大區)為指標大型社區，位板橋浮洲樂群路/學府路一帶。新北市都更處115年9月再公告「板橋(浮洲地區)都市更新地區及都市更新計畫案」，後續都更個案陸續展開。戶數/坪數因合宜住宅分區多棟、公開頁未給單一社區總數，故留空。</t>
        </is>
      </c>
      <c r="K10" s="5">
        <f>COUNTIFS(建案總表_642案!$C$2:$C$643,$C10)</f>
        <v/>
      </c>
    </row>
    <row r="11">
      <c r="A11" s="5" t="n">
        <v>10</v>
      </c>
      <c r="B11" s="5" t="inlineStr">
        <is>
          <t>新北市</t>
        </is>
      </c>
      <c r="C11" s="5" t="inlineStr">
        <is>
          <t>A21002</t>
        </is>
      </c>
      <c r="D11" s="5" t="inlineStr">
        <is>
          <t>new-taipei</t>
        </is>
      </c>
      <c r="E11" s="5" t="inlineStr">
        <is>
          <t>六大直轄市</t>
        </is>
      </c>
      <c r="F11" s="5" t="inlineStr">
        <is>
          <t>公辦市地重劃</t>
        </is>
      </c>
      <c r="G11" s="5" t="inlineStr">
        <is>
          <t>public-urban-land-readjustment.html</t>
        </is>
      </c>
      <c r="H11" s="5" t="inlineStr">
        <is>
          <t>其他中小型公辦案</t>
        </is>
      </c>
      <c r="I11" s="5" t="inlineStr">
        <is>
          <t>no_named_zone</t>
        </is>
      </c>
      <c r="J11" s="5" t="inlineStr">
        <is>
          <t>本筆為佔位型案名，非單一特定重劃區。新北市地政局公辦市地重劃已完成區尚含三重二重埔、三重重陽橋引道附近地區、二重疏洪道兩側等(部分另列seq16)，無單一可對應之住宅個案列表，故builds留空。</t>
        </is>
      </c>
      <c r="K11" s="5">
        <f>COUNTIFS(建案總表_642案!$C$2:$C$643,$C11)</f>
        <v/>
      </c>
    </row>
    <row r="12">
      <c r="A12" s="5" t="n">
        <v>11</v>
      </c>
      <c r="B12" s="5" t="inlineStr">
        <is>
          <t>新北市</t>
        </is>
      </c>
      <c r="C12" s="5" t="inlineStr">
        <is>
          <t>A21002</t>
        </is>
      </c>
      <c r="D12" s="5" t="inlineStr">
        <is>
          <t>new-taipei</t>
        </is>
      </c>
      <c r="E12" s="5" t="inlineStr">
        <is>
          <t>六大直轄市</t>
        </is>
      </c>
      <c r="F12" s="5" t="inlineStr">
        <is>
          <t>自辦市地重劃</t>
        </is>
      </c>
      <c r="G12" s="5" t="inlineStr">
        <is>
          <t>private-urban-land-readjustment.html</t>
        </is>
      </c>
      <c r="H12" s="5" t="inlineStr">
        <is>
          <t>三峽自辦重劃群</t>
        </is>
      </c>
      <c r="I12" s="5" t="inlineStr">
        <is>
          <t>researched</t>
        </is>
      </c>
      <c r="J12" s="5" t="inlineStr">
        <is>
          <t>三峽自辦重劃群為佔位型案名。三峽區實際最大住宅開發為「臺北大學社區特定區(北大特區)」，以區段徵收方式自民國86年開發，橫跨三峽、樹林，上述個案皆為樂居/實價登錄收錄之北大特區內指標社區(housefeel 2026/09整理)。純自辦市地重劃個案在三峽市場列表中未見獨立成區之大型住宅群，故以北大特區可查證個案代表三峽主要住宅重劃聚落，並在此說明類型差異。</t>
        </is>
      </c>
      <c r="K12" s="5">
        <f>COUNTIFS(建案總表_642案!$C$2:$C$643,$C12)</f>
        <v/>
      </c>
    </row>
    <row r="13">
      <c r="A13" s="5" t="n">
        <v>12</v>
      </c>
      <c r="B13" s="5" t="inlineStr">
        <is>
          <t>新北市</t>
        </is>
      </c>
      <c r="C13" s="5" t="inlineStr">
        <is>
          <t>A21002</t>
        </is>
      </c>
      <c r="D13" s="5" t="inlineStr">
        <is>
          <t>new-taipei</t>
        </is>
      </c>
      <c r="E13" s="5" t="inlineStr">
        <is>
          <t>六大直轄市</t>
        </is>
      </c>
      <c r="F13" s="5" t="inlineStr">
        <is>
          <t>自辦市地重劃</t>
        </is>
      </c>
      <c r="G13" s="5" t="inlineStr">
        <is>
          <t>private-urban-land-readjustment.html</t>
        </is>
      </c>
      <c r="H13" s="5" t="inlineStr">
        <is>
          <t>中和自辦重劃</t>
        </is>
      </c>
      <c r="I13" s="5" t="inlineStr">
        <is>
          <t>researched</t>
        </is>
      </c>
      <c r="J13" s="5" t="inlineStr">
        <is>
          <t>新北市地政局有「中和區大洋自辦市地重劃區」專頁(https://www.land.ntpc.gov.tw/cp.aspx?n=10659)，為中和區少見之自辦市地重劃。查591/樂居/新聞，該大洋自辦重劃區目前以土地重劃開發為主，尚無以該重劃區標榜之集合住宅個案在市場列表明確揭露名稱、戶數與坪數，故builds暫留空。</t>
        </is>
      </c>
      <c r="K13" s="5">
        <f>COUNTIFS(建案總表_642案!$C$2:$C$643,$C13)</f>
        <v/>
      </c>
    </row>
    <row r="14">
      <c r="A14" s="5" t="n">
        <v>13</v>
      </c>
      <c r="B14" s="5" t="inlineStr">
        <is>
          <t>新北市</t>
        </is>
      </c>
      <c r="C14" s="5" t="inlineStr">
        <is>
          <t>A21002</t>
        </is>
      </c>
      <c r="D14" s="5" t="inlineStr">
        <is>
          <t>new-taipei</t>
        </is>
      </c>
      <c r="E14" s="5" t="inlineStr">
        <is>
          <t>六大直轄市</t>
        </is>
      </c>
      <c r="F14" s="5" t="inlineStr">
        <is>
          <t>自辦市地重劃</t>
        </is>
      </c>
      <c r="G14" s="5" t="inlineStr">
        <is>
          <t>private-urban-land-readjustment.html</t>
        </is>
      </c>
      <c r="H14" s="5" t="inlineStr">
        <is>
          <t>樹林自辦重劃</t>
        </is>
      </c>
      <c r="I14" s="5" t="inlineStr">
        <is>
          <t>researched</t>
        </is>
      </c>
      <c r="J14" s="5" t="inlineStr">
        <is>
          <t>樹林區內可查得「三多里圳民自辦市地重劃區」(空中大學地方知識學記載，配合機料廠都市計畫個案變更)。樹林主要住宅開發實為北大特區樹林側(南園里)，已併入seq11三峽北大特區個案清單；樹林區獨立之自辦重劃大型住宅個案未在591/樂居/新聞明確揭露，故builds暫留空。</t>
        </is>
      </c>
      <c r="K14" s="5">
        <f>COUNTIFS(建案總表_642案!$C$2:$C$643,$C14)</f>
        <v/>
      </c>
    </row>
    <row r="15">
      <c r="A15" s="5" t="n">
        <v>14</v>
      </c>
      <c r="B15" s="5" t="inlineStr">
        <is>
          <t>新北市</t>
        </is>
      </c>
      <c r="C15" s="5" t="inlineStr">
        <is>
          <t>A21002</t>
        </is>
      </c>
      <c r="D15" s="5" t="inlineStr">
        <is>
          <t>new-taipei</t>
        </is>
      </c>
      <c r="E15" s="5" t="inlineStr">
        <is>
          <t>六大直轄市</t>
        </is>
      </c>
      <c r="F15" s="5" t="inlineStr">
        <is>
          <t>區段徵收</t>
        </is>
      </c>
      <c r="G15" s="5" t="inlineStr">
        <is>
          <t>zone-expropriation.html</t>
        </is>
      </c>
      <c r="H15" s="5" t="inlineStr">
        <is>
          <t>林口新市鎮</t>
        </is>
      </c>
      <c r="I15" s="5" t="inlineStr">
        <is>
          <t>researched</t>
        </is>
      </c>
      <c r="J15" s="5" t="inlineStr">
        <is>
          <t>林口新市鎮跨桃園龜山與新北林口，本清單僅收錄新北市林口區之A8(長庚醫院站)、A9(林口站)周邊個案；A7(體育大學站)個案(遠雄合宜、皇翔歡喜城、富宇上城等)主體位於桃園龜山，未列入。資料為housefeel 2026/03整理之樂居/591/實價登錄清單，森聯摩天41另附樂居社區頁。</t>
        </is>
      </c>
      <c r="K15" s="5">
        <f>COUNTIFS(建案總表_642案!$C$2:$C$643,$C15)</f>
        <v/>
      </c>
    </row>
    <row r="16">
      <c r="A16" s="5" t="n">
        <v>15</v>
      </c>
      <c r="B16" s="5" t="inlineStr">
        <is>
          <t>新北市</t>
        </is>
      </c>
      <c r="C16" s="5" t="inlineStr">
        <is>
          <t>A21002</t>
        </is>
      </c>
      <c r="D16" s="5" t="inlineStr">
        <is>
          <t>new-taipei</t>
        </is>
      </c>
      <c r="E16" s="5" t="inlineStr">
        <is>
          <t>六大直轄市</t>
        </is>
      </c>
      <c r="F16" s="5" t="inlineStr">
        <is>
          <t>區段徵收</t>
        </is>
      </c>
      <c r="G16" s="5" t="inlineStr">
        <is>
          <t>zone-expropriation.html</t>
        </is>
      </c>
      <c r="H16" s="5" t="inlineStr">
        <is>
          <t>淡海新市鎮</t>
        </is>
      </c>
      <c r="I16" s="5" t="inlineStr">
        <is>
          <t>researched</t>
        </is>
      </c>
      <c r="J16" s="5" t="inlineStr">
        <is>
          <t>淡海新市鎮一期(446公頃)為已開發成熟核心，二期仍在都市計畫階段。本清單收錄housefeel 2026/08整理之淡海新市鎮預售+成屋指標個案(樂居/591新建案/實價登錄)，全數位於淡水區淡海新市鎮一期生活圈。新海城(2231戶)為區內指標大案。</t>
        </is>
      </c>
      <c r="K16" s="5">
        <f>COUNTIFS(建案總表_642案!$C$2:$C$643,$C16)</f>
        <v/>
      </c>
    </row>
    <row r="17">
      <c r="A17" s="5" t="n">
        <v>16</v>
      </c>
      <c r="B17" s="5" t="inlineStr">
        <is>
          <t>新北市</t>
        </is>
      </c>
      <c r="C17" s="5" t="inlineStr">
        <is>
          <t>A21002</t>
        </is>
      </c>
      <c r="D17" s="5" t="inlineStr">
        <is>
          <t>new-taipei</t>
        </is>
      </c>
      <c r="E17" s="5" t="inlineStr">
        <is>
          <t>六大直轄市</t>
        </is>
      </c>
      <c r="F17" s="5" t="inlineStr">
        <is>
          <t>區段徵收</t>
        </is>
      </c>
      <c r="G17" s="5" t="inlineStr">
        <is>
          <t>zone-expropriation.html</t>
        </is>
      </c>
      <c r="H17" s="5" t="inlineStr">
        <is>
          <t>二重疏洪道區段徵收</t>
        </is>
      </c>
      <c r="I17" s="5" t="inlineStr">
        <is>
          <t>researched</t>
        </is>
      </c>
      <c r="J17" s="5" t="inlineStr">
        <is>
          <t>政府定名為「二重疏洪道兩側附近地區市地重劃區」(新北市地政局，https://www.land.ntpc.gov.tw/cp.aspx?n=8778)，配合二重疏洪道拆遷戶安置開發，橫跨三重、蘆洲。甲山林市政帝景、市政官邸3號皆PLEX/housefeel明確標註位於二重疏洪道重劃區左岸(三重區五穀王北街、新北大都會公園旁)。區內其餘為早期透天/公寓安置社區，大型集合住宅個案較少。</t>
        </is>
      </c>
      <c r="K17" s="5">
        <f>COUNTIFS(建案總表_642案!$C$2:$C$643,$C17)</f>
        <v/>
      </c>
    </row>
    <row r="18">
      <c r="A18" s="5" t="n">
        <v>17</v>
      </c>
      <c r="B18" s="5" t="inlineStr">
        <is>
          <t>新北市</t>
        </is>
      </c>
      <c r="C18" s="5" t="inlineStr">
        <is>
          <t>A21002</t>
        </is>
      </c>
      <c r="D18" s="5" t="inlineStr">
        <is>
          <t>new-taipei</t>
        </is>
      </c>
      <c r="E18" s="5" t="inlineStr">
        <is>
          <t>六大直轄市</t>
        </is>
      </c>
      <c r="F18" s="5" t="inlineStr">
        <is>
          <t>都市更新</t>
        </is>
      </c>
      <c r="G18" s="5" t="inlineStr">
        <is>
          <t>urban-renewal.html</t>
        </is>
      </c>
      <c r="H18" s="5" t="inlineStr">
        <is>
          <t>板橋舊市區公辦都更</t>
        </is>
      </c>
      <c r="I18" s="5" t="inlineStr">
        <is>
          <t>researched</t>
        </is>
      </c>
      <c r="J18" s="5" t="inlineStr">
        <is>
          <t>板橋舊市區(府中/中山路一帶)公辦及自主都更。府中雙城由冠德建設實施，興建2棟(26層+7層)，113年發布實施；皇翔介壽段案112年簽約、115年發布實施，規劃地上18層；富豪社區自主都更位板橋中山路二段，基地3457平方公尺、原68戶，已動土。均取自新北市施政成果網/都更處公開資訊(L1)。戶數/坪數因都更案尚未揭露銷售資訊，留空。</t>
        </is>
      </c>
      <c r="K18" s="5">
        <f>COUNTIFS(建案總表_642案!$C$2:$C$643,$C18)</f>
        <v/>
      </c>
    </row>
    <row r="19">
      <c r="A19" s="5" t="n">
        <v>18</v>
      </c>
      <c r="B19" s="5" t="inlineStr">
        <is>
          <t>桃園市</t>
        </is>
      </c>
      <c r="C19" s="5" t="inlineStr">
        <is>
          <t>A21003</t>
        </is>
      </c>
      <c r="D19" s="5" t="inlineStr">
        <is>
          <t>taoyuan</t>
        </is>
      </c>
      <c r="E19" s="5" t="inlineStr">
        <is>
          <t>六大直轄市</t>
        </is>
      </c>
      <c r="F19" s="5" t="inlineStr">
        <is>
          <t>公辦市地重劃</t>
        </is>
      </c>
      <c r="G19" s="5" t="inlineStr">
        <is>
          <t>public-urban-land-readjustment.html</t>
        </is>
      </c>
      <c r="H19" s="5" t="inlineStr">
        <is>
          <t>八德擴大重劃</t>
        </is>
      </c>
      <c r="I19" s="5" t="inlineStr">
        <is>
          <t>researched</t>
        </is>
      </c>
      <c r="J19" s="5" t="inlineStr">
        <is>
          <t>依樂居「八德生活圈(擴大重劃區)」建案列表頁 L3 一次性列舉 8 筆大樓案；位址皆落在廣興路、建德路、豐田路等重劃區內道路，與 L2 邊界比對一致。</t>
        </is>
      </c>
      <c r="K19" s="5">
        <f>COUNTIFS(建案總表_642案!$C$2:$C$643,$C19)</f>
        <v/>
      </c>
    </row>
    <row r="20">
      <c r="A20" s="5" t="n">
        <v>19</v>
      </c>
      <c r="B20" s="5" t="inlineStr">
        <is>
          <t>桃園市</t>
        </is>
      </c>
      <c r="C20" s="5" t="inlineStr">
        <is>
          <t>A21003</t>
        </is>
      </c>
      <c r="D20" s="5" t="inlineStr">
        <is>
          <t>taoyuan</t>
        </is>
      </c>
      <c r="E20" s="5" t="inlineStr">
        <is>
          <t>六大直轄市</t>
        </is>
      </c>
      <c r="F20" s="5" t="inlineStr">
        <is>
          <t>公辦市地重劃</t>
        </is>
      </c>
      <c r="G20" s="5" t="inlineStr">
        <is>
          <t>public-urban-land-readjustment.html</t>
        </is>
      </c>
      <c r="H20" s="5" t="inlineStr">
        <is>
          <t>平鎮公辦重劃</t>
        </is>
      </c>
      <c r="I20" s="5" t="inlineStr">
        <is>
          <t>no_data</t>
        </is>
      </c>
      <c r="J20" s="5" t="inlineStr">
        <is>
          <t>查證桃園市第55期平鎮區義興市地重劃區，2026年5月甫經內政部核定，面積僅約0.27公頃，都市計畫原為市場用地，變更後為停車場用地及商業區，無住宅區抵價地，故區內無住宅建案。來源：視傳媒/NVNS、中時新聞網區域情報。</t>
        </is>
      </c>
      <c r="K20" s="5">
        <f>COUNTIFS(建案總表_642案!$C$2:$C$643,$C20)</f>
        <v/>
      </c>
    </row>
    <row r="21">
      <c r="A21" s="5" t="n">
        <v>20</v>
      </c>
      <c r="B21" s="5" t="inlineStr">
        <is>
          <t>桃園市</t>
        </is>
      </c>
      <c r="C21" s="5" t="inlineStr">
        <is>
          <t>A21003</t>
        </is>
      </c>
      <c r="D21" s="5" t="inlineStr">
        <is>
          <t>taoyuan</t>
        </is>
      </c>
      <c r="E21" s="5" t="inlineStr">
        <is>
          <t>六大直轄市</t>
        </is>
      </c>
      <c r="F21" s="5" t="inlineStr">
        <is>
          <t>公辦市地重劃</t>
        </is>
      </c>
      <c r="G21" s="5" t="inlineStr">
        <is>
          <t>public-urban-land-readjustment.html</t>
        </is>
      </c>
      <c r="H21" s="5" t="inlineStr">
        <is>
          <t>楊梅公辦重劃</t>
        </is>
      </c>
      <c r="I21" s="5" t="inlineStr">
        <is>
          <t>no_data</t>
        </is>
      </c>
      <c r="J21" s="5" t="inlineStr">
        <is>
          <t>以「楊梅 公辦市地重劃 住宅區 建案」檢索樂居、591、housefeel、政府資料開放平台，未查得楊梅區有規模明確且已進入住宅推案階段的公辦重劃區個案；楊梅現有推案多屬一般私開基地或高鐵南路特定區周邊，不列入。</t>
        </is>
      </c>
      <c r="K21" s="5">
        <f>COUNTIFS(建案總表_642案!$C$2:$C$643,$C21)</f>
        <v/>
      </c>
    </row>
    <row r="22">
      <c r="A22" s="5" t="n">
        <v>21</v>
      </c>
      <c r="B22" s="5" t="inlineStr">
        <is>
          <t>桃園市</t>
        </is>
      </c>
      <c r="C22" s="5" t="inlineStr">
        <is>
          <t>A21003</t>
        </is>
      </c>
      <c r="D22" s="5" t="inlineStr">
        <is>
          <t>taoyuan</t>
        </is>
      </c>
      <c r="E22" s="5" t="inlineStr">
        <is>
          <t>六大直轄市</t>
        </is>
      </c>
      <c r="F22" s="5" t="inlineStr">
        <is>
          <t>公辦市地重劃</t>
        </is>
      </c>
      <c r="G22" s="5" t="inlineStr">
        <is>
          <t>public-urban-land-readjustment.html</t>
        </is>
      </c>
      <c r="H22" s="5" t="inlineStr">
        <is>
          <t>其他公辦案</t>
        </is>
      </c>
      <c r="I22" s="5" t="inlineStr">
        <is>
          <t>no_named_zone</t>
        </is>
      </c>
      <c r="J22" s="5" t="inlineStr">
        <is>
          <t>佔位型分類，彙整桃園市其餘零星公辦市地重劃案（如桃園區第47期中平市地重劃等）。此類案多處於重劃工程施工階段，尚未有建商進場推出住宅個案，故 builds 留空。</t>
        </is>
      </c>
      <c r="K22" s="5">
        <f>COUNTIFS(建案總表_642案!$C$2:$C$643,$C22)</f>
        <v/>
      </c>
    </row>
    <row r="23">
      <c r="A23" s="5" t="n">
        <v>22</v>
      </c>
      <c r="B23" s="5" t="inlineStr">
        <is>
          <t>桃園市</t>
        </is>
      </c>
      <c r="C23" s="5" t="inlineStr">
        <is>
          <t>A21003</t>
        </is>
      </c>
      <c r="D23" s="5" t="inlineStr">
        <is>
          <t>taoyuan</t>
        </is>
      </c>
      <c r="E23" s="5" t="inlineStr">
        <is>
          <t>六大直轄市</t>
        </is>
      </c>
      <c r="F23" s="5" t="inlineStr">
        <is>
          <t>自辦市地重劃</t>
        </is>
      </c>
      <c r="G23" s="5" t="inlineStr">
        <is>
          <t>private-urban-land-readjustment.html</t>
        </is>
      </c>
      <c r="H23" s="5" t="inlineStr">
        <is>
          <t>中壢自辦重劃群</t>
        </is>
      </c>
      <c r="I23" s="5" t="inlineStr">
        <is>
          <t>researched</t>
        </is>
      </c>
      <c r="J23" s="5" t="inlineStr">
        <is>
          <t>佔位型分類，涵蓋中壢區過嶺等自辦重劃區。591新建案/桃園房地王列舉可對應到過嶺重劃區的指標個案；自辦重劃區零散，未做完整普查。</t>
        </is>
      </c>
      <c r="K23" s="5">
        <f>COUNTIFS(建案總表_642案!$C$2:$C$643,$C23)</f>
        <v/>
      </c>
    </row>
    <row r="24">
      <c r="A24" s="5" t="n">
        <v>23</v>
      </c>
      <c r="B24" s="5" t="inlineStr">
        <is>
          <t>桃園市</t>
        </is>
      </c>
      <c r="C24" s="5" t="inlineStr">
        <is>
          <t>A21003</t>
        </is>
      </c>
      <c r="D24" s="5" t="inlineStr">
        <is>
          <t>taoyuan</t>
        </is>
      </c>
      <c r="E24" s="5" t="inlineStr">
        <is>
          <t>六大直轄市</t>
        </is>
      </c>
      <c r="F24" s="5" t="inlineStr">
        <is>
          <t>自辦市地重劃</t>
        </is>
      </c>
      <c r="G24" s="5" t="inlineStr">
        <is>
          <t>private-urban-land-readjustment.html</t>
        </is>
      </c>
      <c r="H24" s="5" t="inlineStr">
        <is>
          <t>蘆竹自辦重劃</t>
        </is>
      </c>
      <c r="I24" s="5" t="inlineStr">
        <is>
          <t>no_named_zone</t>
        </is>
      </c>
      <c r="J24" s="5" t="inlineStr">
        <is>
          <t>蘆竹南崁一帶雖有零星自辦市地重劃（如南崁路一段、下南崁等），但多已開發完成多年，現有大樓社區（如爵仕堡等）已屬一般市區成屋，無法在公開來源明確對應到特定「自辦重劃區」邊界。故未列 builds，待後續 L2 GIS 邊界比對再補。</t>
        </is>
      </c>
      <c r="K24" s="5">
        <f>COUNTIFS(建案總表_642案!$C$2:$C$643,$C24)</f>
        <v/>
      </c>
    </row>
    <row r="25">
      <c r="A25" s="5" t="n">
        <v>24</v>
      </c>
      <c r="B25" s="5" t="inlineStr">
        <is>
          <t>桃園市</t>
        </is>
      </c>
      <c r="C25" s="5" t="inlineStr">
        <is>
          <t>A21003</t>
        </is>
      </c>
      <c r="D25" s="5" t="inlineStr">
        <is>
          <t>taoyuan</t>
        </is>
      </c>
      <c r="E25" s="5" t="inlineStr">
        <is>
          <t>六大直轄市</t>
        </is>
      </c>
      <c r="F25" s="5" t="inlineStr">
        <is>
          <t>區段徵收</t>
        </is>
      </c>
      <c r="G25" s="5" t="inlineStr">
        <is>
          <t>zone-expropriation.html</t>
        </is>
      </c>
      <c r="H25" s="5" t="inlineStr">
        <is>
          <t>桃園航空城</t>
        </is>
      </c>
      <c r="I25" s="5" t="inlineStr">
        <is>
          <t>researched</t>
        </is>
      </c>
      <c r="J25" s="5" t="inlineStr">
        <is>
          <t>航空城區段徵收範圍約3148公頃，目前處於拆遷與開發前期，區內住宅以公辦社會住宅為主（橫埔段、誠聖段合計約1800戶，預計119年(2030)完工）。民間建商個案多落在航空城外圍或緊鄰的客運園區，不計入本區。</t>
        </is>
      </c>
      <c r="K25" s="5">
        <f>COUNTIFS(建案總表_642案!$C$2:$C$643,$C25)</f>
        <v/>
      </c>
    </row>
    <row r="26">
      <c r="A26" s="5" t="n">
        <v>25</v>
      </c>
      <c r="B26" s="5" t="inlineStr">
        <is>
          <t>桃園市</t>
        </is>
      </c>
      <c r="C26" s="5" t="inlineStr">
        <is>
          <t>A21003</t>
        </is>
      </c>
      <c r="D26" s="5" t="inlineStr">
        <is>
          <t>taoyuan</t>
        </is>
      </c>
      <c r="E26" s="5" t="inlineStr">
        <is>
          <t>六大直轄市</t>
        </is>
      </c>
      <c r="F26" s="5" t="inlineStr">
        <is>
          <t>區段徵收</t>
        </is>
      </c>
      <c r="G26" s="5" t="inlineStr">
        <is>
          <t>zone-expropriation.html</t>
        </is>
      </c>
      <c r="H26" s="5" t="inlineStr">
        <is>
          <t>青埔高鐵特區</t>
        </is>
      </c>
      <c r="I26" s="5" t="inlineStr">
        <is>
          <t>researched</t>
        </is>
      </c>
      <c r="J26" s="5" t="inlineStr">
        <is>
          <t>以樂居「青埔-A18桃園高鐵生活圈」建案列表頁 L3 為主，另整合中時房屋個案比較、賣厝阿明等市場報導。涵蓋 A18 高鐵站周邊主要預售與新成屋大樓；A17/A19 站周邊建案因屬廣義青埔，部分以報導單筆列入。</t>
        </is>
      </c>
      <c r="K26" s="5">
        <f>COUNTIFS(建案總表_642案!$C$2:$C$643,$C26)</f>
        <v/>
      </c>
    </row>
    <row r="27">
      <c r="A27" s="5" t="n">
        <v>26</v>
      </c>
      <c r="B27" s="5" t="inlineStr">
        <is>
          <t>桃園市</t>
        </is>
      </c>
      <c r="C27" s="5" t="inlineStr">
        <is>
          <t>A21003</t>
        </is>
      </c>
      <c r="D27" s="5" t="inlineStr">
        <is>
          <t>taoyuan</t>
        </is>
      </c>
      <c r="E27" s="5" t="inlineStr">
        <is>
          <t>六大直轄市</t>
        </is>
      </c>
      <c r="F27" s="5" t="inlineStr">
        <is>
          <t>區段徵收</t>
        </is>
      </c>
      <c r="G27" s="5" t="inlineStr">
        <is>
          <t>zone-expropriation.html</t>
        </is>
      </c>
      <c r="H27" s="5" t="inlineStr">
        <is>
          <t>中路區段徵收</t>
        </is>
      </c>
      <c r="I27" s="5" t="inlineStr">
        <is>
          <t>researched</t>
        </is>
      </c>
      <c r="J27" s="5" t="inlineStr">
        <is>
          <t>HouseFeel 房感《中路重劃區買房指南》(2026/08/06更新) 以樂居、591實價登錄為基礎，依風禾/水秀/向陽三公園分區完整列出預售與成屋個案；該區位在桃園區文中路、國際路二段、永安路圍起約121公頃，與 L2 區段徵收範圍一致。</t>
        </is>
      </c>
      <c r="K27" s="5">
        <f>COUNTIFS(建案總表_642案!$C$2:$C$643,$C27)</f>
        <v/>
      </c>
    </row>
    <row r="28">
      <c r="A28" s="5" t="n">
        <v>27</v>
      </c>
      <c r="B28" s="5" t="inlineStr">
        <is>
          <t>桃園市</t>
        </is>
      </c>
      <c r="C28" s="5" t="inlineStr">
        <is>
          <t>A21003</t>
        </is>
      </c>
      <c r="D28" s="5" t="inlineStr">
        <is>
          <t>taoyuan</t>
        </is>
      </c>
      <c r="E28" s="5" t="inlineStr">
        <is>
          <t>六大直轄市</t>
        </is>
      </c>
      <c r="F28" s="5" t="inlineStr">
        <is>
          <t>區段徵收</t>
        </is>
      </c>
      <c r="G28" s="5" t="inlineStr">
        <is>
          <t>zone-expropriation.html</t>
        </is>
      </c>
      <c r="H28" s="5" t="inlineStr">
        <is>
          <t>大園區段徵收</t>
        </is>
      </c>
      <c r="I28" s="5" t="inlineStr">
        <is>
          <t>researched</t>
        </is>
      </c>
      <c r="J28" s="5" t="inlineStr">
        <is>
          <t>本區對應「桃園航空客運園區(大園南港地區)特定區」，1998年即啟動徵收，住宅區約佔40%。HouseFeel 2026/04 整理樂居資料，列出預售9筆+成屋8筆。</t>
        </is>
      </c>
      <c r="K28" s="5">
        <f>COUNTIFS(建案總表_642案!$C$2:$C$643,$C28)</f>
        <v/>
      </c>
    </row>
    <row r="29">
      <c r="A29" s="5" t="n">
        <v>28</v>
      </c>
      <c r="B29" s="5" t="inlineStr">
        <is>
          <t>桃園市</t>
        </is>
      </c>
      <c r="C29" s="5" t="inlineStr">
        <is>
          <t>A21003</t>
        </is>
      </c>
      <c r="D29" s="5" t="inlineStr">
        <is>
          <t>taoyuan</t>
        </is>
      </c>
      <c r="E29" s="5" t="inlineStr">
        <is>
          <t>六大直轄市</t>
        </is>
      </c>
      <c r="F29" s="5" t="inlineStr">
        <is>
          <t>都市更新</t>
        </is>
      </c>
      <c r="G29" s="5" t="inlineStr">
        <is>
          <t>urban-renewal.html</t>
        </is>
      </c>
      <c r="H29" s="5" t="inlineStr">
        <is>
          <t>舊市區零星都更</t>
        </is>
      </c>
      <c r="I29" s="5" t="inlineStr">
        <is>
          <t>researched</t>
        </is>
      </c>
      <c r="J29" s="5" t="inlineStr">
        <is>
          <t>桃園舊市區都更以「大車站計畫」沿線為主：春日路案為桃園首件民間整合都更(2024年2月事業計畫核定)；新民停車場公辦都更2025年7月簽約。零星都更案散佈，未做完整普查。</t>
        </is>
      </c>
      <c r="K29" s="5">
        <f>COUNTIFS(建案總表_642案!$C$2:$C$643,$C29)</f>
        <v/>
      </c>
    </row>
    <row r="30">
      <c r="A30" s="5" t="n">
        <v>29</v>
      </c>
      <c r="B30" s="5" t="inlineStr">
        <is>
          <t>臺中市</t>
        </is>
      </c>
      <c r="C30" s="5" t="inlineStr">
        <is>
          <t>A21004</t>
        </is>
      </c>
      <c r="D30" s="5" t="inlineStr">
        <is>
          <t>taichung</t>
        </is>
      </c>
      <c r="E30" s="5" t="inlineStr">
        <is>
          <t>六大直轄市</t>
        </is>
      </c>
      <c r="F30" s="5" t="inlineStr">
        <is>
          <t>公辦市地重劃</t>
        </is>
      </c>
      <c r="G30" s="5" t="inlineStr">
        <is>
          <t>public-urban-land-readjustment.html</t>
        </is>
      </c>
      <c r="H30" s="5" t="inlineStr">
        <is>
          <t>1期重劃</t>
        </is>
      </c>
      <c r="I30" s="5" t="inlineStr">
        <is>
          <t>researched</t>
        </is>
      </c>
      <c r="J30" s="5" t="inlineStr">
        <is>
          <t>官方名稱一期大智市地重劃，位於東區(東橋里/東興里)，面積小、具試驗性質，為台中市第一處市地重劃(L1:維基百科/臺中市政府地政局)。L3市場頁(樂居/591/housefeel)未檢索到以「一期重劃區」標籤歸屬的可查證住宅建案列表，多為早期透天街屋，故建案清單留空。</t>
        </is>
      </c>
      <c r="K30" s="5">
        <f>COUNTIFS(建案總表_642案!$C$2:$C$643,$C30)</f>
        <v/>
      </c>
    </row>
    <row r="31">
      <c r="A31" s="5" t="n">
        <v>30</v>
      </c>
      <c r="B31" s="5" t="inlineStr">
        <is>
          <t>臺中市</t>
        </is>
      </c>
      <c r="C31" s="5" t="inlineStr">
        <is>
          <t>A21004</t>
        </is>
      </c>
      <c r="D31" s="5" t="inlineStr">
        <is>
          <t>taichung</t>
        </is>
      </c>
      <c r="E31" s="5" t="inlineStr">
        <is>
          <t>六大直轄市</t>
        </is>
      </c>
      <c r="F31" s="5" t="inlineStr">
        <is>
          <t>公辦市地重劃</t>
        </is>
      </c>
      <c r="G31" s="5" t="inlineStr">
        <is>
          <t>public-urban-land-readjustment.html</t>
        </is>
      </c>
      <c r="H31" s="5" t="inlineStr">
        <is>
          <t>2期重劃</t>
        </is>
      </c>
      <c r="I31" s="5" t="inlineStr">
        <is>
          <t>researched</t>
        </is>
      </c>
      <c r="J31" s="5" t="inlineStr">
        <is>
          <t>官方名稱二期麻園頭市地重劃，位於西區，重劃後形成向上市場一帶成熟街廓(L1)。屬早期熟成住宅區，L3市場頁未取得以二期重劃區標籤歸屬的新建案/大樓清單，建案清單留空。</t>
        </is>
      </c>
      <c r="K31" s="5">
        <f>COUNTIFS(建案總表_642案!$C$2:$C$643,$C31)</f>
        <v/>
      </c>
    </row>
    <row r="32">
      <c r="A32" s="5" t="n">
        <v>31</v>
      </c>
      <c r="B32" s="5" t="inlineStr">
        <is>
          <t>臺中市</t>
        </is>
      </c>
      <c r="C32" s="5" t="inlineStr">
        <is>
          <t>A21004</t>
        </is>
      </c>
      <c r="D32" s="5" t="inlineStr">
        <is>
          <t>taichung</t>
        </is>
      </c>
      <c r="E32" s="5" t="inlineStr">
        <is>
          <t>六大直轄市</t>
        </is>
      </c>
      <c r="F32" s="5" t="inlineStr">
        <is>
          <t>公辦市地重劃</t>
        </is>
      </c>
      <c r="G32" s="5" t="inlineStr">
        <is>
          <t>public-urban-land-readjustment.html</t>
        </is>
      </c>
      <c r="H32" s="5" t="inlineStr">
        <is>
          <t>3期重劃</t>
        </is>
      </c>
      <c r="I32" s="5" t="inlineStr">
        <is>
          <t>no_data</t>
        </is>
      </c>
      <c r="J32" s="5" t="inlineStr">
        <is>
          <t>經檢索維基百科臺中市市地重劃區列表、樂居、591、housefeel，未能定位第三期市地重劃的官方名稱、行政區位置及可查證歸屬建案；坊間「大里三期」「擴大大里三期」為不同計畫，不列入。查無資料。</t>
        </is>
      </c>
      <c r="K32" s="5">
        <f>COUNTIFS(建案總表_642案!$C$2:$C$643,$C32)</f>
        <v/>
      </c>
    </row>
    <row r="33">
      <c r="A33" s="5" t="n">
        <v>32</v>
      </c>
      <c r="B33" s="5" t="inlineStr">
        <is>
          <t>臺中市</t>
        </is>
      </c>
      <c r="C33" s="5" t="inlineStr">
        <is>
          <t>A21004</t>
        </is>
      </c>
      <c r="D33" s="5" t="inlineStr">
        <is>
          <t>taichung</t>
        </is>
      </c>
      <c r="E33" s="5" t="inlineStr">
        <is>
          <t>六大直轄市</t>
        </is>
      </c>
      <c r="F33" s="5" t="inlineStr">
        <is>
          <t>公辦市地重劃</t>
        </is>
      </c>
      <c r="G33" s="5" t="inlineStr">
        <is>
          <t>public-urban-land-readjustment.html</t>
        </is>
      </c>
      <c r="H33" s="5" t="inlineStr">
        <is>
          <t>4期重劃</t>
        </is>
      </c>
      <c r="I33" s="5" t="inlineStr">
        <is>
          <t>researched</t>
        </is>
      </c>
      <c r="J33" s="5" t="inlineStr">
        <is>
          <t>官方名稱四期中正東山市地重劃，橫跨北區/北屯/西屯，以文心路為外環道，範圍最廣(L1)。建案依L3(台中房地王/591實價)標示之四期重劃區歸屬列舉；鼎天商務大樓為商務大樓(選擇性收錄)。</t>
        </is>
      </c>
      <c r="K33" s="5">
        <f>COUNTIFS(建案總表_642案!$C$2:$C$643,$C33)</f>
        <v/>
      </c>
    </row>
    <row r="34">
      <c r="A34" s="5" t="n">
        <v>33</v>
      </c>
      <c r="B34" s="5" t="inlineStr">
        <is>
          <t>臺中市</t>
        </is>
      </c>
      <c r="C34" s="5" t="inlineStr">
        <is>
          <t>A21004</t>
        </is>
      </c>
      <c r="D34" s="5" t="inlineStr">
        <is>
          <t>taichung</t>
        </is>
      </c>
      <c r="E34" s="5" t="inlineStr">
        <is>
          <t>六大直轄市</t>
        </is>
      </c>
      <c r="F34" s="5" t="inlineStr">
        <is>
          <t>公辦市地重劃</t>
        </is>
      </c>
      <c r="G34" s="5" t="inlineStr">
        <is>
          <t>public-urban-land-readjustment.html</t>
        </is>
      </c>
      <c r="H34" s="5" t="inlineStr">
        <is>
          <t>5期重劃</t>
        </is>
      </c>
      <c r="I34" s="5" t="inlineStr">
        <is>
          <t>researched</t>
        </is>
      </c>
      <c r="J34" s="5" t="inlineStr">
        <is>
          <t>官方名稱五期大墩市地重劃，位於南屯/西屯/西區交界(文心路一段以東、大墩街區)，成熟五期生活圈(L1/L3 houseprice標示五期重劃區)。</t>
        </is>
      </c>
      <c r="K34" s="5">
        <f>COUNTIFS(建案總表_642案!$C$2:$C$643,$C34)</f>
        <v/>
      </c>
    </row>
    <row r="35">
      <c r="A35" s="5" t="n">
        <v>34</v>
      </c>
      <c r="B35" s="5" t="inlineStr">
        <is>
          <t>臺中市</t>
        </is>
      </c>
      <c r="C35" s="5" t="inlineStr">
        <is>
          <t>A21004</t>
        </is>
      </c>
      <c r="D35" s="5" t="inlineStr">
        <is>
          <t>taichung</t>
        </is>
      </c>
      <c r="E35" s="5" t="inlineStr">
        <is>
          <t>六大直轄市</t>
        </is>
      </c>
      <c r="F35" s="5" t="inlineStr">
        <is>
          <t>公辦市地重劃</t>
        </is>
      </c>
      <c r="G35" s="5" t="inlineStr">
        <is>
          <t>public-urban-land-readjustment.html</t>
        </is>
      </c>
      <c r="H35" s="5" t="inlineStr">
        <is>
          <t>6期重劃</t>
        </is>
      </c>
      <c r="I35" s="5" t="inlineStr">
        <is>
          <t>researched</t>
        </is>
      </c>
      <c r="J35" s="5" t="inlineStr">
        <is>
          <t>官方名稱六期干城市地重劃，位於東區干城，1987推動/1990完成，原規劃示範商業區(L1:tcland.org.tw歷史文件、元丰傳媒新聞)。媒體報導示範商業區幾無商業開發，屬商業導向、幾無住宅大樓；L3市場頁未取得住宅建案，建案清單留空。</t>
        </is>
      </c>
      <c r="K35" s="5">
        <f>COUNTIFS(建案總表_642案!$C$2:$C$643,$C35)</f>
        <v/>
      </c>
    </row>
    <row r="36">
      <c r="A36" s="5" t="n">
        <v>35</v>
      </c>
      <c r="B36" s="5" t="inlineStr">
        <is>
          <t>臺中市</t>
        </is>
      </c>
      <c r="C36" s="5" t="inlineStr">
        <is>
          <t>A21004</t>
        </is>
      </c>
      <c r="D36" s="5" t="inlineStr">
        <is>
          <t>taichung</t>
        </is>
      </c>
      <c r="E36" s="5" t="inlineStr">
        <is>
          <t>六大直轄市</t>
        </is>
      </c>
      <c r="F36" s="5" t="inlineStr">
        <is>
          <t>公辦市地重劃</t>
        </is>
      </c>
      <c r="G36" s="5" t="inlineStr">
        <is>
          <t>public-urban-land-readjustment.html</t>
        </is>
      </c>
      <c r="H36" s="5" t="inlineStr">
        <is>
          <t>7期重劃</t>
        </is>
      </c>
      <c r="I36" s="5" t="inlineStr">
        <is>
          <t>researched</t>
        </is>
      </c>
      <c r="J36" s="5" t="inlineStr">
        <is>
          <t>官方名稱七期惠來市地重劃，跨西屯/南屯，面積353.4公頃(L1)。建案與戶數/坪數全數來自HouseFeel彙整表(資料來源標註樂居網+內政部實價登錄，更新2026/04)，屬L3市場資料；為成熟豪宅區，僅列代表性與近期主要建案，非全數。</t>
        </is>
      </c>
      <c r="K36" s="5">
        <f>COUNTIFS(建案總表_642案!$C$2:$C$643,$C36)</f>
        <v/>
      </c>
    </row>
    <row r="37">
      <c r="A37" s="5" t="n">
        <v>36</v>
      </c>
      <c r="B37" s="5" t="inlineStr">
        <is>
          <t>臺中市</t>
        </is>
      </c>
      <c r="C37" s="5" t="inlineStr">
        <is>
          <t>A21004</t>
        </is>
      </c>
      <c r="D37" s="5" t="inlineStr">
        <is>
          <t>taichung</t>
        </is>
      </c>
      <c r="E37" s="5" t="inlineStr">
        <is>
          <t>六大直轄市</t>
        </is>
      </c>
      <c r="F37" s="5" t="inlineStr">
        <is>
          <t>公辦市地重劃</t>
        </is>
      </c>
      <c r="G37" s="5" t="inlineStr">
        <is>
          <t>public-urban-land-readjustment.html</t>
        </is>
      </c>
      <c r="H37" s="5" t="inlineStr">
        <is>
          <t>8期重劃</t>
        </is>
      </c>
      <c r="I37" s="5" t="inlineStr">
        <is>
          <t>researched</t>
        </is>
      </c>
      <c r="J37" s="5" t="inlineStr">
        <is>
          <t>八期重劃區位於南屯區文心南五路/永春東路一帶(L3:591新建案標示生活圈八期重劃區)。該區新建案量較七期少，目前僅取得聚富粼粼一筆可查證歸屬之建案(2-3房、預計2028Q1完工)；其餘個案多標七期旁/單元五，未計入。</t>
        </is>
      </c>
      <c r="K37" s="5">
        <f>COUNTIFS(建案總表_642案!$C$2:$C$643,$C37)</f>
        <v/>
      </c>
    </row>
    <row r="38">
      <c r="A38" s="5" t="n">
        <v>37</v>
      </c>
      <c r="B38" s="5" t="inlineStr">
        <is>
          <t>臺中市</t>
        </is>
      </c>
      <c r="C38" s="5" t="inlineStr">
        <is>
          <t>A21004</t>
        </is>
      </c>
      <c r="D38" s="5" t="inlineStr">
        <is>
          <t>taichung</t>
        </is>
      </c>
      <c r="E38" s="5" t="inlineStr">
        <is>
          <t>六大直轄市</t>
        </is>
      </c>
      <c r="F38" s="5" t="inlineStr">
        <is>
          <t>公辦市地重劃</t>
        </is>
      </c>
      <c r="G38" s="5" t="inlineStr">
        <is>
          <t>public-urban-land-readjustment.html</t>
        </is>
      </c>
      <c r="H38" s="5" t="inlineStr">
        <is>
          <t>9期重劃</t>
        </is>
      </c>
      <c r="I38" s="5" t="inlineStr">
        <is>
          <t>researched</t>
        </is>
      </c>
      <c r="J38" s="5" t="inlineStr">
        <is>
          <t>官方名稱九期旱溪市地重劃，位於東區旱溪/大里溪流域，第一種住宅區、低密度開發，區內多為透天別墅、少有大樓(L1:維基百科)。L3市場頁未取得以九期重劃標籤歸屬的可查證集合住宅/大樓建案清單，建案清單留空。</t>
        </is>
      </c>
      <c r="K38" s="5">
        <f>COUNTIFS(建案總表_642案!$C$2:$C$643,$C38)</f>
        <v/>
      </c>
    </row>
    <row r="39">
      <c r="A39" s="5" t="n">
        <v>38</v>
      </c>
      <c r="B39" s="5" t="inlineStr">
        <is>
          <t>臺中市</t>
        </is>
      </c>
      <c r="C39" s="5" t="inlineStr">
        <is>
          <t>A21004</t>
        </is>
      </c>
      <c r="D39" s="5" t="inlineStr">
        <is>
          <t>taichung</t>
        </is>
      </c>
      <c r="E39" s="5" t="inlineStr">
        <is>
          <t>六大直轄市</t>
        </is>
      </c>
      <c r="F39" s="5" t="inlineStr">
        <is>
          <t>公辦市地重劃</t>
        </is>
      </c>
      <c r="G39" s="5" t="inlineStr">
        <is>
          <t>public-urban-land-readjustment.html</t>
        </is>
      </c>
      <c r="H39" s="5" t="inlineStr">
        <is>
          <t>10期重劃</t>
        </is>
      </c>
      <c r="I39" s="5" t="inlineStr">
        <is>
          <t>researched</t>
        </is>
      </c>
      <c r="J39" s="5" t="inlineStr">
        <is>
          <t>十期重劃區位於北屯區軍福路/葳格中學一帶(L3:knowhouse/591標示十期重劃區、葳格學苑人文特區)。惠宇和樂均價48萬/坪(591實價)。</t>
        </is>
      </c>
      <c r="K39" s="5">
        <f>COUNTIFS(建案總表_642案!$C$2:$C$643,$C39)</f>
        <v/>
      </c>
    </row>
    <row r="40">
      <c r="A40" s="5" t="n">
        <v>39</v>
      </c>
      <c r="B40" s="5" t="inlineStr">
        <is>
          <t>臺中市</t>
        </is>
      </c>
      <c r="C40" s="5" t="inlineStr">
        <is>
          <t>A21004</t>
        </is>
      </c>
      <c r="D40" s="5" t="inlineStr">
        <is>
          <t>taichung</t>
        </is>
      </c>
      <c r="E40" s="5" t="inlineStr">
        <is>
          <t>六大直轄市</t>
        </is>
      </c>
      <c r="F40" s="5" t="inlineStr">
        <is>
          <t>公辦市地重劃</t>
        </is>
      </c>
      <c r="G40" s="5" t="inlineStr">
        <is>
          <t>public-urban-land-readjustment.html</t>
        </is>
      </c>
      <c r="H40" s="5" t="inlineStr">
        <is>
          <t>11期重劃</t>
        </is>
      </c>
      <c r="I40" s="5" t="inlineStr">
        <is>
          <t>researched</t>
        </is>
      </c>
      <c r="J40" s="5" t="inlineStr">
        <is>
          <t>十一期重劃區位於北屯區崇德路/崇德二路一帶(L3:591/knowhouse標示生活圈十一期重劃區)。冠德崇德绽基地968坪、24F。</t>
        </is>
      </c>
      <c r="K40" s="5">
        <f>COUNTIFS(建案總表_642案!$C$2:$C$643,$C40)</f>
        <v/>
      </c>
    </row>
    <row r="41">
      <c r="A41" s="5" t="n">
        <v>40</v>
      </c>
      <c r="B41" s="5" t="inlineStr">
        <is>
          <t>臺中市</t>
        </is>
      </c>
      <c r="C41" s="5" t="inlineStr">
        <is>
          <t>A21004</t>
        </is>
      </c>
      <c r="D41" s="5" t="inlineStr">
        <is>
          <t>taichung</t>
        </is>
      </c>
      <c r="E41" s="5" t="inlineStr">
        <is>
          <t>六大直轄市</t>
        </is>
      </c>
      <c r="F41" s="5" t="inlineStr">
        <is>
          <t>公辦市地重劃</t>
        </is>
      </c>
      <c r="G41" s="5" t="inlineStr">
        <is>
          <t>public-urban-land-readjustment.html</t>
        </is>
      </c>
      <c r="H41" s="5" t="inlineStr">
        <is>
          <t>12期重劃</t>
        </is>
      </c>
      <c r="I41" s="5" t="inlineStr">
        <is>
          <t>researched</t>
        </is>
      </c>
      <c r="J41" s="5" t="inlineStr">
        <is>
          <t>十二期重劃區位於西屯區逢甲商圈/福星北路一帶，鄰水湳經貿園區(L3:housefeel/knowhouse明確標示12期重劃區)。勝美上安平均成交價62.81萬/坪。</t>
        </is>
      </c>
      <c r="K41" s="5">
        <f>COUNTIFS(建案總表_642案!$C$2:$C$643,$C41)</f>
        <v/>
      </c>
    </row>
    <row r="42">
      <c r="A42" s="5" t="n">
        <v>41</v>
      </c>
      <c r="B42" s="5" t="inlineStr">
        <is>
          <t>臺中市</t>
        </is>
      </c>
      <c r="C42" s="5" t="inlineStr">
        <is>
          <t>A21004</t>
        </is>
      </c>
      <c r="D42" s="5" t="inlineStr">
        <is>
          <t>taichung</t>
        </is>
      </c>
      <c r="E42" s="5" t="inlineStr">
        <is>
          <t>六大直轄市</t>
        </is>
      </c>
      <c r="F42" s="5" t="inlineStr">
        <is>
          <t>公辦市地重劃</t>
        </is>
      </c>
      <c r="G42" s="5" t="inlineStr">
        <is>
          <t>public-urban-land-readjustment.html</t>
        </is>
      </c>
      <c r="H42" s="5" t="inlineStr">
        <is>
          <t>13期重劃</t>
        </is>
      </c>
      <c r="I42" s="5" t="inlineStr">
        <is>
          <t>researched</t>
        </is>
      </c>
      <c r="J42" s="5" t="inlineStr">
        <is>
          <t>依 HouseFeel 彙整樂居/591/實價登錄區域專頁（資料更新 2026/04/16），分大慶段/昌明段/楓溪段/樂田段四個段落列舉。多數為預售/興建中新案，數字以來源頁面刊載為準。</t>
        </is>
      </c>
      <c r="K42" s="5">
        <f>COUNTIFS(建案總表_642案!$C$2:$C$643,$C42)</f>
        <v/>
      </c>
    </row>
    <row r="43">
      <c r="A43" s="5" t="n">
        <v>42</v>
      </c>
      <c r="B43" s="5" t="inlineStr">
        <is>
          <t>臺中市</t>
        </is>
      </c>
      <c r="C43" s="5" t="inlineStr">
        <is>
          <t>A21004</t>
        </is>
      </c>
      <c r="D43" s="5" t="inlineStr">
        <is>
          <t>taichung</t>
        </is>
      </c>
      <c r="E43" s="5" t="inlineStr">
        <is>
          <t>六大直轄市</t>
        </is>
      </c>
      <c r="F43" s="5" t="inlineStr">
        <is>
          <t>公辦市地重劃</t>
        </is>
      </c>
      <c r="G43" s="5" t="inlineStr">
        <is>
          <t>public-urban-land-readjustment.html</t>
        </is>
      </c>
      <c r="H43" s="5" t="inlineStr">
        <is>
          <t>14期重劃</t>
        </is>
      </c>
      <c r="I43" s="5" t="inlineStr">
        <is>
          <t>researched</t>
        </is>
      </c>
      <c r="J43" s="5" t="inlineStr">
        <is>
          <t>依 HouseFeel 彙整樂居/591 區域專頁（資料更新 2026/05/27），涵蓋北屯區敦和段/仁平段/洲際段預售、成屋與透天建案。</t>
        </is>
      </c>
      <c r="K43" s="5">
        <f>COUNTIFS(建案總表_642案!$C$2:$C$643,$C43)</f>
        <v/>
      </c>
    </row>
    <row r="44">
      <c r="A44" s="5" t="n">
        <v>43</v>
      </c>
      <c r="B44" s="5" t="inlineStr">
        <is>
          <t>臺中市</t>
        </is>
      </c>
      <c r="C44" s="5" t="inlineStr">
        <is>
          <t>A21004</t>
        </is>
      </c>
      <c r="D44" s="5" t="inlineStr">
        <is>
          <t>taichung</t>
        </is>
      </c>
      <c r="E44" s="5" t="inlineStr">
        <is>
          <t>六大直轄市</t>
        </is>
      </c>
      <c r="F44" s="5" t="inlineStr">
        <is>
          <t>公辦市地重劃</t>
        </is>
      </c>
      <c r="G44" s="5" t="inlineStr">
        <is>
          <t>public-urban-land-readjustment.html</t>
        </is>
      </c>
      <c r="H44" s="5" t="inlineStr">
        <is>
          <t>太平公辦重劃</t>
        </is>
      </c>
      <c r="I44" s="5" t="inlineStr">
        <is>
          <t>researched</t>
        </is>
      </c>
      <c r="J44" s="5" t="inlineStr">
        <is>
          <t>太平公辦重劃以新光重劃區為核心(環中東路三段/新興段一帶)(L3:knowhouse/housetube標示新光重劃區)。鴻邑悅中山基地約830坪、14F、住家156戶+店面5戶。</t>
        </is>
      </c>
      <c r="K44" s="5">
        <f>COUNTIFS(建案總表_642案!$C$2:$C$643,$C44)</f>
        <v/>
      </c>
    </row>
    <row r="45">
      <c r="A45" s="5" t="n">
        <v>44</v>
      </c>
      <c r="B45" s="5" t="inlineStr">
        <is>
          <t>臺中市</t>
        </is>
      </c>
      <c r="C45" s="5" t="inlineStr">
        <is>
          <t>A21004</t>
        </is>
      </c>
      <c r="D45" s="5" t="inlineStr">
        <is>
          <t>taichung</t>
        </is>
      </c>
      <c r="E45" s="5" t="inlineStr">
        <is>
          <t>六大直轄市</t>
        </is>
      </c>
      <c r="F45" s="5" t="inlineStr">
        <is>
          <t>公辦市地重劃</t>
        </is>
      </c>
      <c r="G45" s="5" t="inlineStr">
        <is>
          <t>public-urban-land-readjustment.html</t>
        </is>
      </c>
      <c r="H45" s="5" t="inlineStr">
        <is>
          <t>烏日公辦重劃</t>
        </is>
      </c>
      <c r="I45" s="5" t="inlineStr">
        <is>
          <t>researched</t>
        </is>
      </c>
      <c r="J45" s="5" t="inlineStr">
        <is>
          <t>烏日新建案集中於高鐵特區/新烏日三鐵共構生活圈(L3:knowhouse標示高鐵特區/烏日)。巨陽森昇活為112戶純三房、預計2030交屋。</t>
        </is>
      </c>
      <c r="K45" s="5">
        <f>COUNTIFS(建案總表_642案!$C$2:$C$643,$C45)</f>
        <v/>
      </c>
    </row>
    <row r="46">
      <c r="A46" s="5" t="n">
        <v>45</v>
      </c>
      <c r="B46" s="5" t="inlineStr">
        <is>
          <t>臺中市</t>
        </is>
      </c>
      <c r="C46" s="5" t="inlineStr">
        <is>
          <t>A21004</t>
        </is>
      </c>
      <c r="D46" s="5" t="inlineStr">
        <is>
          <t>taichung</t>
        </is>
      </c>
      <c r="E46" s="5" t="inlineStr">
        <is>
          <t>六大直轄市</t>
        </is>
      </c>
      <c r="F46" s="5" t="inlineStr">
        <is>
          <t>公辦市地重劃</t>
        </is>
      </c>
      <c r="G46" s="5" t="inlineStr">
        <is>
          <t>public-urban-land-readjustment.html</t>
        </is>
      </c>
      <c r="H46" s="5" t="inlineStr">
        <is>
          <t>霧峰公辦重劃</t>
        </is>
      </c>
      <c r="I46" s="5" t="inlineStr">
        <is>
          <t>researched</t>
        </is>
      </c>
      <c r="J46" s="5" t="inlineStr">
        <is>
          <t>霧峰區新建案(亞洲大學/四德路/仁義路一帶)(L3:houseprice/housetube)。侑信寓見未來為12F、107戶、屋齡約4年。區內建案量小，以上為可查證主要集合住宅。</t>
        </is>
      </c>
      <c r="K46" s="5">
        <f>COUNTIFS(建案總表_642案!$C$2:$C$643,$C46)</f>
        <v/>
      </c>
    </row>
    <row r="47">
      <c r="A47" s="5" t="n">
        <v>46</v>
      </c>
      <c r="B47" s="5" t="inlineStr">
        <is>
          <t>臺中市</t>
        </is>
      </c>
      <c r="C47" s="5" t="inlineStr">
        <is>
          <t>A21004</t>
        </is>
      </c>
      <c r="D47" s="5" t="inlineStr">
        <is>
          <t>taichung</t>
        </is>
      </c>
      <c r="E47" s="5" t="inlineStr">
        <is>
          <t>六大直轄市</t>
        </is>
      </c>
      <c r="F47" s="5" t="inlineStr">
        <is>
          <t>公辦市地重劃</t>
        </is>
      </c>
      <c r="G47" s="5" t="inlineStr">
        <is>
          <t>public-urban-land-readjustment.html</t>
        </is>
      </c>
      <c r="H47" s="5" t="inlineStr">
        <is>
          <t>沙鹿公辦重劃</t>
        </is>
      </c>
      <c r="I47" s="5" t="inlineStr">
        <is>
          <t>researched</t>
        </is>
      </c>
      <c r="J47" s="5" t="inlineStr">
        <is>
          <t>沙鹿區新建案集中於靜宜大學/沙鹿車站一帶(L3:housetube/knowhouse；樂居沙鹿新建案清單 leju.com.tw/community_list?area=B433)。坤悅沐光邸基地906坪、2-3房。</t>
        </is>
      </c>
      <c r="K47" s="5">
        <f>COUNTIFS(建案總表_642案!$C$2:$C$643,$C47)</f>
        <v/>
      </c>
    </row>
    <row r="48">
      <c r="A48" s="5" t="n">
        <v>47</v>
      </c>
      <c r="B48" s="5" t="inlineStr">
        <is>
          <t>臺中市</t>
        </is>
      </c>
      <c r="C48" s="5" t="inlineStr">
        <is>
          <t>A21004</t>
        </is>
      </c>
      <c r="D48" s="5" t="inlineStr">
        <is>
          <t>taichung</t>
        </is>
      </c>
      <c r="E48" s="5" t="inlineStr">
        <is>
          <t>六大直轄市</t>
        </is>
      </c>
      <c r="F48" s="5" t="inlineStr">
        <is>
          <t>公辦市地重劃</t>
        </is>
      </c>
      <c r="G48" s="5" t="inlineStr">
        <is>
          <t>public-urban-land-readjustment.html</t>
        </is>
      </c>
      <c r="H48" s="5" t="inlineStr">
        <is>
          <t>豐原公辦重劃</t>
        </is>
      </c>
      <c r="I48" s="5" t="inlineStr">
        <is>
          <t>researched</t>
        </is>
      </c>
      <c r="J48" s="5" t="inlineStr">
        <is>
          <t>豐原區新建案(圓環北路/文化街/愛國街一帶)(L3:housetube/nhc)。映豐青為26戶華廈、均價39.6萬/坪；紀凡希12F、101戶+3店面。</t>
        </is>
      </c>
      <c r="K48" s="5">
        <f>COUNTIFS(建案總表_642案!$C$2:$C$643,$C48)</f>
        <v/>
      </c>
    </row>
    <row r="49">
      <c r="A49" s="5" t="n">
        <v>48</v>
      </c>
      <c r="B49" s="5" t="inlineStr">
        <is>
          <t>臺中市</t>
        </is>
      </c>
      <c r="C49" s="5" t="inlineStr">
        <is>
          <t>A21004</t>
        </is>
      </c>
      <c r="D49" s="5" t="inlineStr">
        <is>
          <t>taichung</t>
        </is>
      </c>
      <c r="E49" s="5" t="inlineStr">
        <is>
          <t>六大直轄市</t>
        </is>
      </c>
      <c r="F49" s="5" t="inlineStr">
        <is>
          <t>自辦市地重劃</t>
        </is>
      </c>
      <c r="G49" s="5" t="inlineStr">
        <is>
          <t>private-urban-land-readjustment.html</t>
        </is>
      </c>
      <c r="H49" s="5" t="inlineStr">
        <is>
          <t>大里自辦重劃</t>
        </is>
      </c>
      <c r="I49" s="5" t="inlineStr">
        <is>
          <t>researched</t>
        </is>
      </c>
      <c r="J49" s="5" t="inlineStr">
        <is>
          <t>大里區並無大型知名自辦重劃專區；僅由 591 報導「允將康城」位於興大旁小重劃區。實際可查證區內建案稀少。</t>
        </is>
      </c>
      <c r="K49" s="5">
        <f>COUNTIFS(建案總表_642案!$C$2:$C$643,$C49)</f>
        <v/>
      </c>
    </row>
    <row r="50">
      <c r="A50" s="5" t="n">
        <v>49</v>
      </c>
      <c r="B50" s="5" t="inlineStr">
        <is>
          <t>臺中市</t>
        </is>
      </c>
      <c r="C50" s="5" t="inlineStr">
        <is>
          <t>A21004</t>
        </is>
      </c>
      <c r="D50" s="5" t="inlineStr">
        <is>
          <t>taichung</t>
        </is>
      </c>
      <c r="E50" s="5" t="inlineStr">
        <is>
          <t>六大直轄市</t>
        </is>
      </c>
      <c r="F50" s="5" t="inlineStr">
        <is>
          <t>自辦市地重劃</t>
        </is>
      </c>
      <c r="G50" s="5" t="inlineStr">
        <is>
          <t>private-urban-land-readjustment.html</t>
        </is>
      </c>
      <c r="H50" s="5" t="inlineStr">
        <is>
          <t>大雅自辦重劃</t>
        </is>
      </c>
      <c r="I50" s="5" t="inlineStr">
        <is>
          <t>researched</t>
        </is>
      </c>
      <c r="J50" s="5" t="inlineStr">
        <is>
          <t>大雅區以中科生活圈散點推案為主，未見大規模公辦重劃；列舉中科周邊可查證建案。</t>
        </is>
      </c>
      <c r="K50" s="5">
        <f>COUNTIFS(建案總表_642案!$C$2:$C$643,$C50)</f>
        <v/>
      </c>
    </row>
    <row r="51">
      <c r="A51" s="5" t="n">
        <v>50</v>
      </c>
      <c r="B51" s="5" t="inlineStr">
        <is>
          <t>臺中市</t>
        </is>
      </c>
      <c r="C51" s="5" t="inlineStr">
        <is>
          <t>A21004</t>
        </is>
      </c>
      <c r="D51" s="5" t="inlineStr">
        <is>
          <t>taichung</t>
        </is>
      </c>
      <c r="E51" s="5" t="inlineStr">
        <is>
          <t>六大直轄市</t>
        </is>
      </c>
      <c r="F51" s="5" t="inlineStr">
        <is>
          <t>自辦市地重劃</t>
        </is>
      </c>
      <c r="G51" s="5" t="inlineStr">
        <is>
          <t>private-urban-land-readjustment.html</t>
        </is>
      </c>
      <c r="H51" s="5" t="inlineStr">
        <is>
          <t>其他鄉鎮自辦案</t>
        </is>
      </c>
      <c r="I51" s="5" t="inlineStr">
        <is>
          <t>no_named_zone</t>
        </is>
      </c>
      <c r="J51" s="5" t="inlineStr">
        <is>
          <t>佔位型案名，台中大肚/太平/霧峰/沙鹿等鄉鎮自辦重劃案散點，無單一可命名重劃區；本次普查未逐區列舉。</t>
        </is>
      </c>
      <c r="K51" s="5">
        <f>COUNTIFS(建案總表_642案!$C$2:$C$643,$C51)</f>
        <v/>
      </c>
    </row>
    <row r="52">
      <c r="A52" s="5" t="n">
        <v>51</v>
      </c>
      <c r="B52" s="5" t="inlineStr">
        <is>
          <t>臺中市</t>
        </is>
      </c>
      <c r="C52" s="5" t="inlineStr">
        <is>
          <t>A21004</t>
        </is>
      </c>
      <c r="D52" s="5" t="inlineStr">
        <is>
          <t>taichung</t>
        </is>
      </c>
      <c r="E52" s="5" t="inlineStr">
        <is>
          <t>六大直轄市</t>
        </is>
      </c>
      <c r="F52" s="5" t="inlineStr">
        <is>
          <t>區段徵收</t>
        </is>
      </c>
      <c r="G52" s="5" t="inlineStr">
        <is>
          <t>zone-expropriation.html</t>
        </is>
      </c>
      <c r="H52" s="5" t="inlineStr">
        <is>
          <t>水湳智慧城（區段徵收）</t>
        </is>
      </c>
      <c r="I52" s="5" t="inlineStr">
        <is>
          <t>researched</t>
        </is>
      </c>
      <c r="J52" s="5" t="inlineStr">
        <is>
          <t>依 HouseFeel 彙整樂居（資料更新 2026/10/12）+ Knowhouse + 遠雄官網 + 樂居/591，列舉生態住宅專用區/文化商業專用區內建案。</t>
        </is>
      </c>
      <c r="K52" s="5">
        <f>COUNTIFS(建案總表_642案!$C$2:$C$643,$C52)</f>
        <v/>
      </c>
    </row>
    <row r="53">
      <c r="A53" s="5" t="n">
        <v>52</v>
      </c>
      <c r="B53" s="5" t="inlineStr">
        <is>
          <t>臺中市</t>
        </is>
      </c>
      <c r="C53" s="5" t="inlineStr">
        <is>
          <t>A21004</t>
        </is>
      </c>
      <c r="D53" s="5" t="inlineStr">
        <is>
          <t>taichung</t>
        </is>
      </c>
      <c r="E53" s="5" t="inlineStr">
        <is>
          <t>六大直轄市</t>
        </is>
      </c>
      <c r="F53" s="5" t="inlineStr">
        <is>
          <t>都市更新</t>
        </is>
      </c>
      <c r="G53" s="5" t="inlineStr">
        <is>
          <t>urban-renewal.html</t>
        </is>
      </c>
      <c r="H53" s="5" t="inlineStr">
        <is>
          <t>舊市區零星都更</t>
        </is>
      </c>
      <c r="I53" s="5" t="inlineStr">
        <is>
          <t>no_named_zone</t>
        </is>
      </c>
      <c r="J53" s="5" t="inlineStr">
        <is>
          <t>佔位型案名。台中市舊市區（中區/北區/西區）零星都更案散點推動，列舉媒體廣為報導之金園大樓都更案為例；其他個案如千越大樓、鼎泰中城、中央市場改建等屬公共/商業設施更新，未列入住宅建案。</t>
        </is>
      </c>
      <c r="K53" s="5">
        <f>COUNTIFS(建案總表_642案!$C$2:$C$643,$C53)</f>
        <v/>
      </c>
    </row>
    <row r="54">
      <c r="A54" s="5" t="n">
        <v>53</v>
      </c>
      <c r="B54" s="5" t="inlineStr">
        <is>
          <t>臺南市</t>
        </is>
      </c>
      <c r="C54" s="5" t="inlineStr">
        <is>
          <t>A21005</t>
        </is>
      </c>
      <c r="D54" s="5" t="inlineStr">
        <is>
          <t>tainan</t>
        </is>
      </c>
      <c r="E54" s="5" t="inlineStr">
        <is>
          <t>六大直轄市</t>
        </is>
      </c>
      <c r="F54" s="5" t="inlineStr">
        <is>
          <t>公辦市地重劃</t>
        </is>
      </c>
      <c r="G54" s="5" t="inlineStr">
        <is>
          <t>public-urban-land-readjustment.html</t>
        </is>
      </c>
      <c r="H54" s="5" t="inlineStr">
        <is>
          <t>東區重劃</t>
        </is>
      </c>
      <c r="I54" s="5" t="inlineStr">
        <is>
          <t>researched</t>
        </is>
      </c>
      <c r="J54" s="5" t="inlineStr">
        <is>
          <t>東區公辦重劃主要指平實營區市地重劃(平實重劃區)及虎尾寮重劃區；建案來源為591新建案、HouseFeel、台南房地王、5168實價登錄之東區重劃區建案列表頁，坪數/單價以各案頁面刊載為準。</t>
        </is>
      </c>
      <c r="K54" s="5">
        <f>COUNTIFS(建案總表_642案!$C$2:$C$643,$C54)</f>
        <v/>
      </c>
    </row>
    <row r="55">
      <c r="A55" s="5" t="n">
        <v>54</v>
      </c>
      <c r="B55" s="5" t="inlineStr">
        <is>
          <t>臺南市</t>
        </is>
      </c>
      <c r="C55" s="5" t="inlineStr">
        <is>
          <t>A21005</t>
        </is>
      </c>
      <c r="D55" s="5" t="inlineStr">
        <is>
          <t>tainan</t>
        </is>
      </c>
      <c r="E55" s="5" t="inlineStr">
        <is>
          <t>六大直轄市</t>
        </is>
      </c>
      <c r="F55" s="5" t="inlineStr">
        <is>
          <t>公辦市地重劃</t>
        </is>
      </c>
      <c r="G55" s="5" t="inlineStr">
        <is>
          <t>public-urban-land-readjustment.html</t>
        </is>
      </c>
      <c r="H55" s="5" t="inlineStr">
        <is>
          <t>永康公辦重劃</t>
        </is>
      </c>
      <c r="I55" s="5" t="inlineStr">
        <is>
          <t>researched</t>
        </is>
      </c>
      <c r="J55" s="5" t="inlineStr">
        <is>
          <t>永康區主要公辦市地重劃為「永康大同市地重劃」(2026/9/30動土，預計2028完工)及「永大市地重劃區」(預計2026完工，提供約3.5公頃建築用地)，兩案皆尚在施工階段，區內尚無已推出住宅建案；仁發大都滙位於永康大橋富都心特區，列為區域指標案。來源：中時房產、大台南建築開發商業同業公會新聞。</t>
        </is>
      </c>
      <c r="K55" s="5">
        <f>COUNTIFS(建案總表_642案!$C$2:$C$643,$C55)</f>
        <v/>
      </c>
    </row>
    <row r="56">
      <c r="A56" s="5" t="n">
        <v>55</v>
      </c>
      <c r="B56" s="5" t="inlineStr">
        <is>
          <t>臺南市</t>
        </is>
      </c>
      <c r="C56" s="5" t="inlineStr">
        <is>
          <t>A21005</t>
        </is>
      </c>
      <c r="D56" s="5" t="inlineStr">
        <is>
          <t>tainan</t>
        </is>
      </c>
      <c r="E56" s="5" t="inlineStr">
        <is>
          <t>六大直轄市</t>
        </is>
      </c>
      <c r="F56" s="5" t="inlineStr">
        <is>
          <t>公辦市地重劃</t>
        </is>
      </c>
      <c r="G56" s="5" t="inlineStr">
        <is>
          <t>public-urban-land-readjustment.html</t>
        </is>
      </c>
      <c r="H56" s="5" t="inlineStr">
        <is>
          <t>歸仁公辦重劃</t>
        </is>
      </c>
      <c r="I56" s="5" t="inlineStr">
        <is>
          <t>researched</t>
        </is>
      </c>
      <c r="J56" s="5" t="inlineStr">
        <is>
          <t>歸仁區公辦重劃及沙崙高鐵特區周邊建案；來源為591新建案、樂居、台南房地王、5168實價登錄歸仁區列表頁。歸仁十一路/大順街周邊為主要開發廊帶。</t>
        </is>
      </c>
      <c r="K56" s="5">
        <f>COUNTIFS(建案總表_642案!$C$2:$C$643,$C56)</f>
        <v/>
      </c>
    </row>
    <row r="57">
      <c r="A57" s="5" t="n">
        <v>56</v>
      </c>
      <c r="B57" s="5" t="inlineStr">
        <is>
          <t>臺南市</t>
        </is>
      </c>
      <c r="C57" s="5" t="inlineStr">
        <is>
          <t>A21005</t>
        </is>
      </c>
      <c r="D57" s="5" t="inlineStr">
        <is>
          <t>tainan</t>
        </is>
      </c>
      <c r="E57" s="5" t="inlineStr">
        <is>
          <t>六大直轄市</t>
        </is>
      </c>
      <c r="F57" s="5" t="inlineStr">
        <is>
          <t>公辦市地重劃</t>
        </is>
      </c>
      <c r="G57" s="5" t="inlineStr">
        <is>
          <t>public-urban-land-readjustment.html</t>
        </is>
      </c>
      <c r="H57" s="5" t="inlineStr">
        <is>
          <t>仁德公辦重劃</t>
        </is>
      </c>
      <c r="I57" s="5" t="inlineStr">
        <is>
          <t>researched</t>
        </is>
      </c>
      <c r="J57" s="5" t="inlineStr">
        <is>
          <t>仁德區公辦重劃/公辦都更以二空新村B區公辦都更為指標(2021招商、2026啟用，約170戶社會住宅)；city漾為仁德四街一般住宅大樓。來源：大台南建築開發商業同業公會、台南房地王。</t>
        </is>
      </c>
      <c r="K57" s="5">
        <f>COUNTIFS(建案總表_642案!$C$2:$C$643,$C57)</f>
        <v/>
      </c>
    </row>
    <row r="58">
      <c r="A58" s="5" t="n">
        <v>57</v>
      </c>
      <c r="B58" s="5" t="inlineStr">
        <is>
          <t>臺南市</t>
        </is>
      </c>
      <c r="C58" s="5" t="inlineStr">
        <is>
          <t>A21005</t>
        </is>
      </c>
      <c r="D58" s="5" t="inlineStr">
        <is>
          <t>tainan</t>
        </is>
      </c>
      <c r="E58" s="5" t="inlineStr">
        <is>
          <t>六大直轄市</t>
        </is>
      </c>
      <c r="F58" s="5" t="inlineStr">
        <is>
          <t>公辦市地重劃</t>
        </is>
      </c>
      <c r="G58" s="5" t="inlineStr">
        <is>
          <t>public-urban-land-readjustment.html</t>
        </is>
      </c>
      <c r="H58" s="5" t="inlineStr">
        <is>
          <t>其他公辦案</t>
        </is>
      </c>
      <c r="I58" s="5" t="inlineStr">
        <is>
          <t>no_named_zone</t>
        </is>
      </c>
      <c r="J58" s="5" t="inlineStr">
        <is>
          <t>佔位型區名，未指定具體公辦重劃範圍；除東區/永康/歸仁/仁德已分區列管者外，其餘零星公辦市地重劃(如佳里、麻豆等)尚無可逐一對應的區內建案列表，故不強行填入。</t>
        </is>
      </c>
      <c r="K58" s="5">
        <f>COUNTIFS(建案總表_642案!$C$2:$C$643,$C58)</f>
        <v/>
      </c>
    </row>
    <row r="59">
      <c r="A59" s="5" t="n">
        <v>58</v>
      </c>
      <c r="B59" s="5" t="inlineStr">
        <is>
          <t>臺南市</t>
        </is>
      </c>
      <c r="C59" s="5" t="inlineStr">
        <is>
          <t>A21005</t>
        </is>
      </c>
      <c r="D59" s="5" t="inlineStr">
        <is>
          <t>tainan</t>
        </is>
      </c>
      <c r="E59" s="5" t="inlineStr">
        <is>
          <t>六大直轄市</t>
        </is>
      </c>
      <c r="F59" s="5" t="inlineStr">
        <is>
          <t>自辦市地重劃</t>
        </is>
      </c>
      <c r="G59" s="5" t="inlineStr">
        <is>
          <t>private-urban-land-readjustment.html</t>
        </is>
      </c>
      <c r="H59" s="5" t="inlineStr">
        <is>
          <t>安南自辦重劃群</t>
        </is>
      </c>
      <c r="I59" s="5" t="inlineStr">
        <is>
          <t>researched</t>
        </is>
      </c>
      <c r="J59" s="5" t="inlineStr">
        <is>
          <t>安南區除九份子(區段徵收，另列seq60)外之自辦市地重劃群，多為透天別墅社區；來源為台南房地王安南區透天別墅建案頁。部分自辦重劃範圍零散，未逐筆L2邊界比對。</t>
        </is>
      </c>
      <c r="K59" s="5">
        <f>COUNTIFS(建案總表_642案!$C$2:$C$643,$C59)</f>
        <v/>
      </c>
    </row>
    <row r="60">
      <c r="A60" s="5" t="n">
        <v>59</v>
      </c>
      <c r="B60" s="5" t="inlineStr">
        <is>
          <t>臺南市</t>
        </is>
      </c>
      <c r="C60" s="5" t="inlineStr">
        <is>
          <t>A21005</t>
        </is>
      </c>
      <c r="D60" s="5" t="inlineStr">
        <is>
          <t>tainan</t>
        </is>
      </c>
      <c r="E60" s="5" t="inlineStr">
        <is>
          <t>六大直轄市</t>
        </is>
      </c>
      <c r="F60" s="5" t="inlineStr">
        <is>
          <t>自辦市地重劃</t>
        </is>
      </c>
      <c r="G60" s="5" t="inlineStr">
        <is>
          <t>private-urban-land-readjustment.html</t>
        </is>
      </c>
      <c r="H60" s="5" t="inlineStr">
        <is>
          <t>其他鄉鎮自辦案</t>
        </is>
      </c>
      <c r="I60" s="5" t="inlineStr">
        <is>
          <t>no_named_zone</t>
        </is>
      </c>
      <c r="J60" s="5" t="inlineStr">
        <is>
          <t>佔位型區名，泛指溪北/臨海各鄉鎮零散自辦市地重劃，未指定具體重劃區，無可一一對應之區內建案列表，故builds留空。</t>
        </is>
      </c>
      <c r="K60" s="5">
        <f>COUNTIFS(建案總表_642案!$C$2:$C$643,$C60)</f>
        <v/>
      </c>
    </row>
    <row r="61">
      <c r="A61" s="5" t="n">
        <v>60</v>
      </c>
      <c r="B61" s="5" t="inlineStr">
        <is>
          <t>臺南市</t>
        </is>
      </c>
      <c r="C61" s="5" t="inlineStr">
        <is>
          <t>A21005</t>
        </is>
      </c>
      <c r="D61" s="5" t="inlineStr">
        <is>
          <t>tainan</t>
        </is>
      </c>
      <c r="E61" s="5" t="inlineStr">
        <is>
          <t>六大直轄市</t>
        </is>
      </c>
      <c r="F61" s="5" t="inlineStr">
        <is>
          <t>區段徵收</t>
        </is>
      </c>
      <c r="G61" s="5" t="inlineStr">
        <is>
          <t>zone-expropriation.html</t>
        </is>
      </c>
      <c r="H61" s="5" t="inlineStr">
        <is>
          <t>九份子特區</t>
        </is>
      </c>
      <c r="I61" s="5" t="inlineStr">
        <is>
          <t>researched</t>
        </is>
      </c>
      <c r="J61" s="5" t="inlineStr">
        <is>
          <t>九份子為台南市安南區區段徵收特區，範圍約樂活街生活圈；建案來源為Knowhouse九份子重劃區專頁、591實價登錄、5168實價登錄比價王樂活街周邊、台南房地王及鉅聞天下/房地王新聞。地址多落在樂活X街、海佃路周邊，地緣判斷屬區內。</t>
        </is>
      </c>
      <c r="K61" s="5">
        <f>COUNTIFS(建案總表_642案!$C$2:$C$643,$C61)</f>
        <v/>
      </c>
    </row>
    <row r="62">
      <c r="A62" s="5" t="n">
        <v>61</v>
      </c>
      <c r="B62" s="5" t="inlineStr">
        <is>
          <t>臺南市</t>
        </is>
      </c>
      <c r="C62" s="5" t="inlineStr">
        <is>
          <t>A21005</t>
        </is>
      </c>
      <c r="D62" s="5" t="inlineStr">
        <is>
          <t>tainan</t>
        </is>
      </c>
      <c r="E62" s="5" t="inlineStr">
        <is>
          <t>六大直轄市</t>
        </is>
      </c>
      <c r="F62" s="5" t="inlineStr">
        <is>
          <t>區段徵收</t>
        </is>
      </c>
      <c r="G62" s="5" t="inlineStr">
        <is>
          <t>zone-expropriation.html</t>
        </is>
      </c>
      <c r="H62" s="5" t="inlineStr">
        <is>
          <t>南科特定區</t>
        </is>
      </c>
      <c r="I62" s="5" t="inlineStr">
        <is>
          <t>researched</t>
        </is>
      </c>
      <c r="J62" s="5" t="inlineStr">
        <is>
          <t>南科特定區跨新市、善化、安定三區，A/O區段徵收2026年5月才開工(375公頃)，目前區內建案多集中於善化市區及新市新和重劃(最靠近南科)生活圈；L&amp;M特定區建案另見seq62。來源：台南房地王善化/新市建案列表、5168實價登錄、591新建案、中時房產。</t>
        </is>
      </c>
      <c r="K62" s="5">
        <f>COUNTIFS(建案總表_642案!$C$2:$C$643,$C62)</f>
        <v/>
      </c>
    </row>
    <row r="63">
      <c r="A63" s="5" t="n">
        <v>62</v>
      </c>
      <c r="B63" s="5" t="inlineStr">
        <is>
          <t>臺南市</t>
        </is>
      </c>
      <c r="C63" s="5" t="inlineStr">
        <is>
          <t>A21005</t>
        </is>
      </c>
      <c r="D63" s="5" t="inlineStr">
        <is>
          <t>tainan</t>
        </is>
      </c>
      <c r="E63" s="5" t="inlineStr">
        <is>
          <t>六大直轄市</t>
        </is>
      </c>
      <c r="F63" s="5" t="inlineStr">
        <is>
          <t>區段徵收</t>
        </is>
      </c>
      <c r="G63" s="5" t="inlineStr">
        <is>
          <t>zone-expropriation.html</t>
        </is>
      </c>
      <c r="H63" s="5" t="inlineStr">
        <is>
          <t>善化區段徵收</t>
        </is>
      </c>
      <c r="I63" s="5" t="inlineStr">
        <is>
          <t>researched</t>
        </is>
      </c>
      <c r="J63" s="5" t="inlineStr">
        <is>
          <t>善化區段徵收即南科L&amp;M特定區(善化區陽光大道、蓮潭里一帶)；佳鋐科匯位陽光三路、恆鵬陽光四季位陽光大道447號，均來源標註「南科L&amp;M特定區」。與seq61南科特定區為重疊範圍，此處僅列明確落在L&amp;M段徵區內者。來源：591新建案/實價登錄、Knowhouse。</t>
        </is>
      </c>
      <c r="K63" s="5">
        <f>COUNTIFS(建案總表_642案!$C$2:$C$643,$C63)</f>
        <v/>
      </c>
    </row>
    <row r="64">
      <c r="A64" s="5" t="n">
        <v>63</v>
      </c>
      <c r="B64" s="5" t="inlineStr">
        <is>
          <t>臺南市</t>
        </is>
      </c>
      <c r="C64" s="5" t="inlineStr">
        <is>
          <t>A21005</t>
        </is>
      </c>
      <c r="D64" s="5" t="inlineStr">
        <is>
          <t>tainan</t>
        </is>
      </c>
      <c r="E64" s="5" t="inlineStr">
        <is>
          <t>六大直轄市</t>
        </is>
      </c>
      <c r="F64" s="5" t="inlineStr">
        <is>
          <t>都市更新</t>
        </is>
      </c>
      <c r="G64" s="5" t="inlineStr">
        <is>
          <t>urban-renewal.html</t>
        </is>
      </c>
      <c r="H64" s="5" t="inlineStr">
        <is>
          <t>舊市區零星都更</t>
        </is>
      </c>
      <c r="I64" s="5" t="inlineStr">
        <is>
          <t>researched</t>
        </is>
      </c>
      <c r="J64" s="5" t="inlineStr">
        <is>
          <t>舊市區零星都更為分散個案、無單一重劃單元；出雲居為永康區維冠大樓震災重建(公辦都更指標)，欣府城一品樓為北區都市更新/危老重建大樓店住。此區為佔位型，僅列可查證指標案。來源：內政部新聞、台南房地王。</t>
        </is>
      </c>
      <c r="K64" s="5">
        <f>COUNTIFS(建案總表_642案!$C$2:$C$643,$C64)</f>
        <v/>
      </c>
    </row>
    <row r="65">
      <c r="A65" s="5" t="n">
        <v>64</v>
      </c>
      <c r="B65" s="5" t="inlineStr">
        <is>
          <t>高雄市</t>
        </is>
      </c>
      <c r="C65" s="5" t="inlineStr">
        <is>
          <t>A21006</t>
        </is>
      </c>
      <c r="D65" s="5" t="inlineStr">
        <is>
          <t>kaohsiung</t>
        </is>
      </c>
      <c r="E65" s="5" t="inlineStr">
        <is>
          <t>六大直轄市</t>
        </is>
      </c>
      <c r="F65" s="5" t="inlineStr">
        <is>
          <t>公辦市地重劃</t>
        </is>
      </c>
      <c r="G65" s="5" t="inlineStr">
        <is>
          <t>public-urban-land-readjustment.html</t>
        </is>
      </c>
      <c r="H65" s="5" t="inlineStr">
        <is>
          <t>鳳山公辦重劃</t>
        </is>
      </c>
      <c r="I65" s="5" t="inlineStr">
        <is>
          <t>researched</t>
        </is>
      </c>
      <c r="J65" s="5" t="inlineStr">
        <is>
          <t>鳳山區公辦市地重劃泛指頂新特區及新都心一帶重劃區；建案來自591新建案與高雄房地王L3列表，落點於頂新特區/新都心生活圈。</t>
        </is>
      </c>
      <c r="K65" s="5">
        <f>COUNTIFS(建案總表_642案!$C$2:$C$643,$C65)</f>
        <v/>
      </c>
    </row>
    <row r="66">
      <c r="A66" s="5" t="n">
        <v>65</v>
      </c>
      <c r="B66" s="5" t="inlineStr">
        <is>
          <t>高雄市</t>
        </is>
      </c>
      <c r="C66" s="5" t="inlineStr">
        <is>
          <t>A21006</t>
        </is>
      </c>
      <c r="D66" s="5" t="inlineStr">
        <is>
          <t>kaohsiung</t>
        </is>
      </c>
      <c r="E66" s="5" t="inlineStr">
        <is>
          <t>六大直轄市</t>
        </is>
      </c>
      <c r="F66" s="5" t="inlineStr">
        <is>
          <t>公辦市地重劃</t>
        </is>
      </c>
      <c r="G66" s="5" t="inlineStr">
        <is>
          <t>public-urban-land-readjustment.html</t>
        </is>
      </c>
      <c r="H66" s="5" t="inlineStr">
        <is>
          <t>岡山公辦重劃</t>
        </is>
      </c>
      <c r="I66" s="5" t="inlineStr">
        <is>
          <t>researched</t>
        </is>
      </c>
      <c r="J66" s="5" t="inlineStr">
        <is>
          <t>即大鵬九村87期公辦重劃區（岡山區南側，2016開工2019竣工），HouseFeel L3專頁列舉區內建案；另社宅626戶為公共住宅未列。</t>
        </is>
      </c>
      <c r="K66" s="5">
        <f>COUNTIFS(建案總表_642案!$C$2:$C$643,$C66)</f>
        <v/>
      </c>
    </row>
    <row r="67">
      <c r="A67" s="5" t="n">
        <v>66</v>
      </c>
      <c r="B67" s="5" t="inlineStr">
        <is>
          <t>高雄市</t>
        </is>
      </c>
      <c r="C67" s="5" t="inlineStr">
        <is>
          <t>A21006</t>
        </is>
      </c>
      <c r="D67" s="5" t="inlineStr">
        <is>
          <t>kaohsiung</t>
        </is>
      </c>
      <c r="E67" s="5" t="inlineStr">
        <is>
          <t>六大直轄市</t>
        </is>
      </c>
      <c r="F67" s="5" t="inlineStr">
        <is>
          <t>公辦市地重劃</t>
        </is>
      </c>
      <c r="G67" s="5" t="inlineStr">
        <is>
          <t>public-urban-land-readjustment.html</t>
        </is>
      </c>
      <c r="H67" s="5" t="inlineStr">
        <is>
          <t>大寮公辦重劃</t>
        </is>
      </c>
      <c r="I67" s="5" t="inlineStr">
        <is>
          <t>researched</t>
        </is>
      </c>
      <c r="J67" s="5" t="inlineStr">
        <is>
          <t>大寮區公辦重劃建案量小，以透天與小規模大樓為主；建案來自591新建案及中時看屋筆記L3。</t>
        </is>
      </c>
      <c r="K67" s="5">
        <f>COUNTIFS(建案總表_642案!$C$2:$C$643,$C67)</f>
        <v/>
      </c>
    </row>
    <row r="68">
      <c r="A68" s="5" t="n">
        <v>67</v>
      </c>
      <c r="B68" s="5" t="inlineStr">
        <is>
          <t>高雄市</t>
        </is>
      </c>
      <c r="C68" s="5" t="inlineStr">
        <is>
          <t>A21006</t>
        </is>
      </c>
      <c r="D68" s="5" t="inlineStr">
        <is>
          <t>kaohsiung</t>
        </is>
      </c>
      <c r="E68" s="5" t="inlineStr">
        <is>
          <t>六大直轄市</t>
        </is>
      </c>
      <c r="F68" s="5" t="inlineStr">
        <is>
          <t>公辦市地重劃</t>
        </is>
      </c>
      <c r="G68" s="5" t="inlineStr">
        <is>
          <t>public-urban-land-readjustment.html</t>
        </is>
      </c>
      <c r="H68" s="5" t="inlineStr">
        <is>
          <t>路竹公辦重劃</t>
        </is>
      </c>
      <c r="I68" s="5" t="inlineStr">
        <is>
          <t>researched</t>
        </is>
      </c>
      <c r="J68" s="5" t="inlineStr">
        <is>
          <t>路竹區公辦重劃（臨路竹科學園區），建案量小以透天與小坪數大樓為主；來自高雄房地王L3。</t>
        </is>
      </c>
      <c r="K68" s="5">
        <f>COUNTIFS(建案總表_642案!$C$2:$C$643,$C68)</f>
        <v/>
      </c>
    </row>
    <row r="69">
      <c r="A69" s="5" t="n">
        <v>68</v>
      </c>
      <c r="B69" s="5" t="inlineStr">
        <is>
          <t>高雄市</t>
        </is>
      </c>
      <c r="C69" s="5" t="inlineStr">
        <is>
          <t>A21006</t>
        </is>
      </c>
      <c r="D69" s="5" t="inlineStr">
        <is>
          <t>kaohsiung</t>
        </is>
      </c>
      <c r="E69" s="5" t="inlineStr">
        <is>
          <t>六大直轄市</t>
        </is>
      </c>
      <c r="F69" s="5" t="inlineStr">
        <is>
          <t>公辦市地重劃</t>
        </is>
      </c>
      <c r="G69" s="5" t="inlineStr">
        <is>
          <t>public-urban-land-readjustment.html</t>
        </is>
      </c>
      <c r="H69" s="5" t="inlineStr">
        <is>
          <t>其他公辦案</t>
        </is>
      </c>
      <c r="I69" s="5" t="inlineStr">
        <is>
          <t>no_named_zone</t>
        </is>
      </c>
      <c r="J69" s="5" t="inlineStr">
        <is>
          <t>佔位型分類，泛指高雄市其餘未單獨列名之公辦市地重劃案（如各期數零星重劃區）。未針對單一可指認邊界逐一列舉建案；如需細分應依各期數重劃計畫書L1界定。</t>
        </is>
      </c>
      <c r="K69" s="5">
        <f>COUNTIFS(建案總表_642案!$C$2:$C$643,$C69)</f>
        <v/>
      </c>
    </row>
    <row r="70">
      <c r="A70" s="5" t="n">
        <v>69</v>
      </c>
      <c r="B70" s="5" t="inlineStr">
        <is>
          <t>高雄市</t>
        </is>
      </c>
      <c r="C70" s="5" t="inlineStr">
        <is>
          <t>A21006</t>
        </is>
      </c>
      <c r="D70" s="5" t="inlineStr">
        <is>
          <t>kaohsiung</t>
        </is>
      </c>
      <c r="E70" s="5" t="inlineStr">
        <is>
          <t>六大直轄市</t>
        </is>
      </c>
      <c r="F70" s="5" t="inlineStr">
        <is>
          <t>自辦市地重劃</t>
        </is>
      </c>
      <c r="G70" s="5" t="inlineStr">
        <is>
          <t>private-urban-land-readjustment.html</t>
        </is>
      </c>
      <c r="H70" s="5" t="inlineStr">
        <is>
          <t>梓官自辦重劃</t>
        </is>
      </c>
      <c r="I70" s="5" t="inlineStr">
        <is>
          <t>researched</t>
        </is>
      </c>
      <c r="J70" s="5" t="inlineStr">
        <is>
          <t>梓官區自辦重劃以透天別墅為主，建案集中於梓官生活圈信義路一帶；來自591新建案與房地王L3。</t>
        </is>
      </c>
      <c r="K70" s="5">
        <f>COUNTIFS(建案總表_642案!$C$2:$C$643,$C70)</f>
        <v/>
      </c>
    </row>
    <row r="71">
      <c r="A71" s="5" t="n">
        <v>70</v>
      </c>
      <c r="B71" s="5" t="inlineStr">
        <is>
          <t>高雄市</t>
        </is>
      </c>
      <c r="C71" s="5" t="inlineStr">
        <is>
          <t>A21006</t>
        </is>
      </c>
      <c r="D71" s="5" t="inlineStr">
        <is>
          <t>kaohsiung</t>
        </is>
      </c>
      <c r="E71" s="5" t="inlineStr">
        <is>
          <t>六大直轄市</t>
        </is>
      </c>
      <c r="F71" s="5" t="inlineStr">
        <is>
          <t>自辦市地重劃</t>
        </is>
      </c>
      <c r="G71" s="5" t="inlineStr">
        <is>
          <t>private-urban-land-readjustment.html</t>
        </is>
      </c>
      <c r="H71" s="5" t="inlineStr">
        <is>
          <t>彌陀自辦重劃</t>
        </is>
      </c>
      <c r="I71" s="5" t="inlineStr">
        <is>
          <t>no_data</t>
        </is>
      </c>
      <c r="J71" s="5" t="inlineStr">
        <is>
          <t>搜尋「彌陀 重劃 建案」未找到可明確指認位於彌陀區自辦重劃區內之具名住宅建案；該區以鄉村透天與農地為主，市場L3平台鮮有收錄。</t>
        </is>
      </c>
      <c r="K71" s="5">
        <f>COUNTIFS(建案總表_642案!$C$2:$C$643,$C71)</f>
        <v/>
      </c>
    </row>
    <row r="72">
      <c r="A72" s="5" t="n">
        <v>71</v>
      </c>
      <c r="B72" s="5" t="inlineStr">
        <is>
          <t>高雄市</t>
        </is>
      </c>
      <c r="C72" s="5" t="inlineStr">
        <is>
          <t>A21006</t>
        </is>
      </c>
      <c r="D72" s="5" t="inlineStr">
        <is>
          <t>kaohsiung</t>
        </is>
      </c>
      <c r="E72" s="5" t="inlineStr">
        <is>
          <t>六大直轄市</t>
        </is>
      </c>
      <c r="F72" s="5" t="inlineStr">
        <is>
          <t>自辦市地重劃</t>
        </is>
      </c>
      <c r="G72" s="5" t="inlineStr">
        <is>
          <t>private-urban-land-readjustment.html</t>
        </is>
      </c>
      <c r="H72" s="5" t="inlineStr">
        <is>
          <t>其他鄉鎮自辦案</t>
        </is>
      </c>
      <c r="I72" s="5" t="inlineStr">
        <is>
          <t>no_named_zone</t>
        </is>
      </c>
      <c r="J72" s="5" t="inlineStr">
        <is>
          <t>佔位型分類，泛指高雄市其餘鄉鎮（茄萣、永安、林園、大社、阿蓮、田寮、燕巢、旗山、美濃、六龜等）未單獨列名之自辦重劃案。未針對單一可指認邊界列舉建案。</t>
        </is>
      </c>
      <c r="K72" s="5">
        <f>COUNTIFS(建案總表_642案!$C$2:$C$643,$C72)</f>
        <v/>
      </c>
    </row>
    <row r="73">
      <c r="A73" s="5" t="n">
        <v>72</v>
      </c>
      <c r="B73" s="5" t="inlineStr">
        <is>
          <t>高雄市</t>
        </is>
      </c>
      <c r="C73" s="5" t="inlineStr">
        <is>
          <t>A21006</t>
        </is>
      </c>
      <c r="D73" s="5" t="inlineStr">
        <is>
          <t>kaohsiung</t>
        </is>
      </c>
      <c r="E73" s="5" t="inlineStr">
        <is>
          <t>六大直轄市</t>
        </is>
      </c>
      <c r="F73" s="5" t="inlineStr">
        <is>
          <t>區段徵收</t>
        </is>
      </c>
      <c r="G73" s="5" t="inlineStr">
        <is>
          <t>zone-expropriation.html</t>
        </is>
      </c>
      <c r="H73" s="5" t="inlineStr">
        <is>
          <t>農16特區</t>
        </is>
      </c>
      <c r="I73" s="5" t="inlineStr">
        <is>
          <t>researched</t>
        </is>
      </c>
      <c r="J73" s="5" t="inlineStr">
        <is>
          <t>農16特區位於鼓山區，民國91年區段徵收完成；建案清單與戶數/坪數/均價均出自HouseFeel L3專頁（彙整實價登錄與樂居，2026/07/06更新），落在凹子底段住宅區內。</t>
        </is>
      </c>
      <c r="K73" s="5">
        <f>COUNTIFS(建案總表_642案!$C$2:$C$643,$C73)</f>
        <v/>
      </c>
    </row>
    <row r="74">
      <c r="A74" s="5" t="n">
        <v>73</v>
      </c>
      <c r="B74" s="5" t="inlineStr">
        <is>
          <t>高雄市</t>
        </is>
      </c>
      <c r="C74" s="5" t="inlineStr">
        <is>
          <t>A21006</t>
        </is>
      </c>
      <c r="D74" s="5" t="inlineStr">
        <is>
          <t>kaohsiung</t>
        </is>
      </c>
      <c r="E74" s="5" t="inlineStr">
        <is>
          <t>六大直轄市</t>
        </is>
      </c>
      <c r="F74" s="5" t="inlineStr">
        <is>
          <t>區段徵收</t>
        </is>
      </c>
      <c r="G74" s="5" t="inlineStr">
        <is>
          <t>zone-expropriation.html</t>
        </is>
      </c>
      <c r="H74" s="5" t="inlineStr">
        <is>
          <t>亞洲新灣區</t>
        </is>
      </c>
      <c r="I74" s="5" t="inlineStr">
        <is>
          <t>researched</t>
        </is>
      </c>
      <c r="J74" s="5" t="inlineStr">
        <is>
          <t>亞洲新灣區橫跨前鎮/苓雅/鹽埕/鼓山，590公頃；建案清單出自HouseFeel L3專頁（彙整樂居與實價登錄，2026/05/13更新），含區內預售、中古、國宅；亞灣205來自5168實價登錄前鎮區列表（經貿段五小段，205兵工廠區段徵收範圍）。和陸寓邸位亞灣周邊三多商圈側，屬亞灣生活圈。</t>
        </is>
      </c>
      <c r="K74" s="5">
        <f>COUNTIFS(建案總表_642案!$C$2:$C$643,$C74)</f>
        <v/>
      </c>
    </row>
    <row r="75">
      <c r="A75" s="5" t="n">
        <v>74</v>
      </c>
      <c r="B75" s="5" t="inlineStr">
        <is>
          <t>高雄市</t>
        </is>
      </c>
      <c r="C75" s="5" t="inlineStr">
        <is>
          <t>A21006</t>
        </is>
      </c>
      <c r="D75" s="5" t="inlineStr">
        <is>
          <t>kaohsiung</t>
        </is>
      </c>
      <c r="E75" s="5" t="inlineStr">
        <is>
          <t>六大直轄市</t>
        </is>
      </c>
      <c r="F75" s="5" t="inlineStr">
        <is>
          <t>區段徵收</t>
        </is>
      </c>
      <c r="G75" s="5" t="inlineStr">
        <is>
          <t>zone-expropriation.html</t>
        </is>
      </c>
      <c r="H75" s="5" t="inlineStr">
        <is>
          <t>仁武區段徵收</t>
        </is>
      </c>
      <c r="I75" s="5" t="inlineStr">
        <is>
          <t>researched</t>
        </is>
      </c>
      <c r="J75" s="5" t="inlineStr">
        <is>
          <t>仁武區段徵收/重劃泛指澄德重劃區、九番埤榮總特區、灣北重劃區及92期重劃一帶；建案來自樂居、5168實價登錄、高雄房地王L3。</t>
        </is>
      </c>
      <c r="K75" s="5">
        <f>COUNTIFS(建案總表_642案!$C$2:$C$643,$C75)</f>
        <v/>
      </c>
    </row>
    <row r="76">
      <c r="A76" s="5" t="n">
        <v>75</v>
      </c>
      <c r="B76" s="5" t="inlineStr">
        <is>
          <t>高雄市</t>
        </is>
      </c>
      <c r="C76" s="5" t="inlineStr">
        <is>
          <t>A21006</t>
        </is>
      </c>
      <c r="D76" s="5" t="inlineStr">
        <is>
          <t>kaohsiung</t>
        </is>
      </c>
      <c r="E76" s="5" t="inlineStr">
        <is>
          <t>六大直轄市</t>
        </is>
      </c>
      <c r="F76" s="5" t="inlineStr">
        <is>
          <t>區段徵收</t>
        </is>
      </c>
      <c r="G76" s="5" t="inlineStr">
        <is>
          <t>zone-expropriation.html</t>
        </is>
      </c>
      <c r="H76" s="5" t="inlineStr">
        <is>
          <t>岡山區段徵收</t>
        </is>
      </c>
      <c r="I76" s="5" t="inlineStr">
        <is>
          <t>no_named_zone</t>
        </is>
      </c>
      <c r="J76" s="5" t="inlineStr">
        <is>
          <t>岡山區另指可明確指認之獨立區段徵收案；岡山主要開發為87期公辦市地重劃（已計入seq65），區段徵收部分多與橋頭科學園區周邊整體開發相關，未找到可獨立指認邊界且已興建住宅之區段徵收建案。</t>
        </is>
      </c>
      <c r="K76" s="5">
        <f>COUNTIFS(建案總表_642案!$C$2:$C$643,$C76)</f>
        <v/>
      </c>
    </row>
    <row r="77">
      <c r="A77" s="5" t="n">
        <v>76</v>
      </c>
      <c r="B77" s="5" t="inlineStr">
        <is>
          <t>高雄市</t>
        </is>
      </c>
      <c r="C77" s="5" t="inlineStr">
        <is>
          <t>A21006</t>
        </is>
      </c>
      <c r="D77" s="5" t="inlineStr">
        <is>
          <t>kaohsiung</t>
        </is>
      </c>
      <c r="E77" s="5" t="inlineStr">
        <is>
          <t>六大直轄市</t>
        </is>
      </c>
      <c r="F77" s="5" t="inlineStr">
        <is>
          <t>區段徵收</t>
        </is>
      </c>
      <c r="G77" s="5" t="inlineStr">
        <is>
          <t>zone-expropriation.html</t>
        </is>
      </c>
      <c r="H77" s="5" t="inlineStr">
        <is>
          <t>橋頭科學園區段徵收</t>
        </is>
      </c>
      <c r="I77" s="5" t="inlineStr">
        <is>
          <t>researched</t>
        </is>
      </c>
      <c r="J77" s="5" t="inlineStr">
        <is>
          <t>橋頭科學園區周邊之高雄新市鎮（區段徵收）；建案集中於橋頭區新莊段、新東三街、橋新環路一帶，來自591實價登錄、高雄房地王、5168等L3。</t>
        </is>
      </c>
      <c r="K77" s="5">
        <f>COUNTIFS(建案總表_642案!$C$2:$C$643,$C77)</f>
        <v/>
      </c>
    </row>
    <row r="78">
      <c r="A78" s="5" t="n">
        <v>77</v>
      </c>
      <c r="B78" s="5" t="inlineStr">
        <is>
          <t>高雄市</t>
        </is>
      </c>
      <c r="C78" s="5" t="inlineStr">
        <is>
          <t>A21006</t>
        </is>
      </c>
      <c r="D78" s="5" t="inlineStr">
        <is>
          <t>kaohsiung</t>
        </is>
      </c>
      <c r="E78" s="5" t="inlineStr">
        <is>
          <t>六大直轄市</t>
        </is>
      </c>
      <c r="F78" s="5" t="inlineStr">
        <is>
          <t>都市更新</t>
        </is>
      </c>
      <c r="G78" s="5" t="inlineStr">
        <is>
          <t>urban-renewal.html</t>
        </is>
      </c>
      <c r="H78" s="5" t="inlineStr">
        <is>
          <t>舊市區零星都更</t>
        </is>
      </c>
      <c r="I78" s="5" t="inlineStr">
        <is>
          <t>no_named_zone</t>
        </is>
      </c>
      <c r="J78" s="5" t="inlineStr">
        <is>
          <t>佔位型分類，泛指高雄舊市區零星都市更新案（如左營果貿公辦都更、岡山行政中心跨區公辦都更等）。此類多為公辦都更招商階段，尚未有已興建完成之具名住宅建案可逐筆列舉；未單獨指認邊界故builds留空。</t>
        </is>
      </c>
      <c r="K78" s="5">
        <f>COUNTIFS(建案總表_642案!$C$2:$C$643,$C78)</f>
        <v/>
      </c>
    </row>
    <row r="79">
      <c r="A79" s="5" t="n">
        <v>78</v>
      </c>
      <c r="B79" s="5" t="inlineStr">
        <is>
          <t>基隆市</t>
        </is>
      </c>
      <c r="C79" s="5" t="inlineStr">
        <is>
          <t>A21021</t>
        </is>
      </c>
      <c r="D79" s="5" t="inlineStr">
        <is>
          <t>keelung</t>
        </is>
      </c>
      <c r="E79" s="5" t="inlineStr">
        <is>
          <t>北部地區</t>
        </is>
      </c>
      <c r="F79" s="5" t="inlineStr">
        <is>
          <t>公辦市地重劃</t>
        </is>
      </c>
      <c r="G79" s="5" t="inlineStr">
        <is>
          <t>public-urban-land-readjustment.html</t>
        </is>
      </c>
      <c r="H79" s="5" t="inlineStr">
        <is>
          <t>市區小型公辦案</t>
        </is>
      </c>
      <c r="I79" s="5" t="inlineStr">
        <is>
          <t>no_named_zone</t>
        </is>
      </c>
      <c r="J79" s="5" t="inlineStr">
        <is>
          <t>佔位型案名；基隆市公辦市地重劃規模小，無可指名單一重劃區住宅建案列表；已檢索住展myhousing基隆站、5168基隆市新建案。</t>
        </is>
      </c>
      <c r="K79" s="5">
        <f>COUNTIFS(建案總表_642案!$C$2:$C$643,$C79)</f>
        <v/>
      </c>
    </row>
    <row r="80">
      <c r="A80" s="5" t="n">
        <v>79</v>
      </c>
      <c r="B80" s="5" t="inlineStr">
        <is>
          <t>基隆市</t>
        </is>
      </c>
      <c r="C80" s="5" t="inlineStr">
        <is>
          <t>A21021</t>
        </is>
      </c>
      <c r="D80" s="5" t="inlineStr">
        <is>
          <t>keelung</t>
        </is>
      </c>
      <c r="E80" s="5" t="inlineStr">
        <is>
          <t>北部地區</t>
        </is>
      </c>
      <c r="F80" s="5" t="inlineStr">
        <is>
          <t>自辦市地重劃</t>
        </is>
      </c>
      <c r="G80" s="5" t="inlineStr">
        <is>
          <t>private-urban-land-readjustment.html</t>
        </is>
      </c>
      <c r="H80" s="5" t="inlineStr">
        <is>
          <t>市區小型自辦重劃</t>
        </is>
      </c>
      <c r="I80" s="5" t="inlineStr">
        <is>
          <t>no_named_zone</t>
        </is>
      </c>
      <c r="J80" s="5" t="inlineStr">
        <is>
          <t>佔位型案名；基隆市自辦市地重劃零散，無可指名列表；已檢索樂居/591新建案/5168。</t>
        </is>
      </c>
      <c r="K80" s="5">
        <f>COUNTIFS(建案總表_642案!$C$2:$C$643,$C80)</f>
        <v/>
      </c>
    </row>
    <row r="81">
      <c r="A81" s="5" t="n">
        <v>80</v>
      </c>
      <c r="B81" s="5" t="inlineStr">
        <is>
          <t>基隆市</t>
        </is>
      </c>
      <c r="C81" s="5" t="inlineStr">
        <is>
          <t>A21021</t>
        </is>
      </c>
      <c r="D81" s="5" t="inlineStr">
        <is>
          <t>keelung</t>
        </is>
      </c>
      <c r="E81" s="5" t="inlineStr">
        <is>
          <t>北部地區</t>
        </is>
      </c>
      <c r="F81" s="5" t="inlineStr">
        <is>
          <t>都市更新</t>
        </is>
      </c>
      <c r="G81" s="5" t="inlineStr">
        <is>
          <t>urban-renewal.html</t>
        </is>
      </c>
      <c r="H81" s="5" t="inlineStr">
        <is>
          <t>基隆港周邊都更</t>
        </is>
      </c>
      <c r="I81" s="5" t="inlineStr">
        <is>
          <t>researched</t>
        </is>
      </c>
      <c r="J81" s="5" t="inlineStr">
        <is>
          <t>基隆火車站都更為行政院指標性都更(愛台12建設)，屬公共開發案；住宅市場案取自住展/甲山林/5168。</t>
        </is>
      </c>
      <c r="K81" s="5">
        <f>COUNTIFS(建案總表_642案!$C$2:$C$643,$C81)</f>
        <v/>
      </c>
    </row>
    <row r="82">
      <c r="A82" s="5" t="n">
        <v>81</v>
      </c>
      <c r="B82" s="5" t="inlineStr">
        <is>
          <t>新竹市</t>
        </is>
      </c>
      <c r="C82" s="5" t="inlineStr">
        <is>
          <t>A21007</t>
        </is>
      </c>
      <c r="D82" s="5" t="inlineStr">
        <is>
          <t>hsinchu-city</t>
        </is>
      </c>
      <c r="E82" s="5" t="inlineStr">
        <is>
          <t>北部地區</t>
        </is>
      </c>
      <c r="F82" s="5" t="inlineStr">
        <is>
          <t>公辦市地重劃</t>
        </is>
      </c>
      <c r="G82" s="5" t="inlineStr">
        <is>
          <t>public-urban-land-readjustment.html</t>
        </is>
      </c>
      <c r="H82" s="5" t="inlineStr">
        <is>
          <t>市區小型公辦案</t>
        </is>
      </c>
      <c r="I82" s="5" t="inlineStr">
        <is>
          <t>no_named_zone</t>
        </is>
      </c>
      <c r="J82" s="5" t="inlineStr">
        <is>
          <t>佔位型案名；新竹市公辦市地重劃規模小、無可指名單一列表；已檢索樂居新竹市/591。</t>
        </is>
      </c>
      <c r="K82" s="5">
        <f>COUNTIFS(建案總表_642案!$C$2:$C$643,$C82)</f>
        <v/>
      </c>
    </row>
    <row r="83">
      <c r="A83" s="5" t="n">
        <v>82</v>
      </c>
      <c r="B83" s="5" t="inlineStr">
        <is>
          <t>新竹市</t>
        </is>
      </c>
      <c r="C83" s="5" t="inlineStr">
        <is>
          <t>A21007</t>
        </is>
      </c>
      <c r="D83" s="5" t="inlineStr">
        <is>
          <t>hsinchu-city</t>
        </is>
      </c>
      <c r="E83" s="5" t="inlineStr">
        <is>
          <t>北部地區</t>
        </is>
      </c>
      <c r="F83" s="5" t="inlineStr">
        <is>
          <t>自辦市地重劃</t>
        </is>
      </c>
      <c r="G83" s="5" t="inlineStr">
        <is>
          <t>private-urban-land-readjustment.html</t>
        </is>
      </c>
      <c r="H83" s="5" t="inlineStr">
        <is>
          <t>市區多處自辦重劃</t>
        </is>
      </c>
      <c r="I83" s="5" t="inlineStr">
        <is>
          <t>researched</t>
        </is>
      </c>
      <c r="J83" s="5" t="inlineStr">
        <is>
          <t>以關埔重劃區(光埔重劃區+關長重劃區，含光埔二期自辦)為代表；建案取自HouseFeel彙整樂居列表頁，戶數坪數單價可溯源。</t>
        </is>
      </c>
      <c r="K83" s="5">
        <f>COUNTIFS(建案總表_642案!$C$2:$C$643,$C83)</f>
        <v/>
      </c>
    </row>
    <row r="84">
      <c r="A84" s="5" t="n">
        <v>83</v>
      </c>
      <c r="B84" s="5" t="inlineStr">
        <is>
          <t>新竹市</t>
        </is>
      </c>
      <c r="C84" s="5" t="inlineStr">
        <is>
          <t>A21007</t>
        </is>
      </c>
      <c r="D84" s="5" t="inlineStr">
        <is>
          <t>hsinchu-city</t>
        </is>
      </c>
      <c r="E84" s="5" t="inlineStr">
        <is>
          <t>北部地區</t>
        </is>
      </c>
      <c r="F84" s="5" t="inlineStr">
        <is>
          <t>自辦市地重劃</t>
        </is>
      </c>
      <c r="G84" s="5" t="inlineStr">
        <is>
          <t>private-urban-land-readjustment.html</t>
        </is>
      </c>
      <c r="H84" s="5" t="inlineStr">
        <is>
          <t>金山街自辦重劃</t>
        </is>
      </c>
      <c r="I84" s="5" t="inlineStr">
        <is>
          <t>researched</t>
        </is>
      </c>
      <c r="J84" s="5" t="inlineStr">
        <is>
          <t>金山街商圈旁竹科介壽重劃區；取自代銷/仲介與房地王個案頁，區內為竹科小坪數自辦推案。</t>
        </is>
      </c>
      <c r="K84" s="5">
        <f>COUNTIFS(建案總表_642案!$C$2:$C$643,$C84)</f>
        <v/>
      </c>
    </row>
    <row r="85">
      <c r="A85" s="5" t="n">
        <v>84</v>
      </c>
      <c r="B85" s="5" t="inlineStr">
        <is>
          <t>新竹市</t>
        </is>
      </c>
      <c r="C85" s="5" t="inlineStr">
        <is>
          <t>A21007</t>
        </is>
      </c>
      <c r="D85" s="5" t="inlineStr">
        <is>
          <t>hsinchu-city</t>
        </is>
      </c>
      <c r="E85" s="5" t="inlineStr">
        <is>
          <t>北部地區</t>
        </is>
      </c>
      <c r="F85" s="5" t="inlineStr">
        <is>
          <t>都市更新</t>
        </is>
      </c>
      <c r="G85" s="5" t="inlineStr">
        <is>
          <t>urban-renewal.html</t>
        </is>
      </c>
      <c r="H85" s="5" t="inlineStr">
        <is>
          <t>舊市區都更</t>
        </is>
      </c>
      <c r="I85" s="5" t="inlineStr">
        <is>
          <t>no_data</t>
        </is>
      </c>
      <c r="J85" s="5" t="inlineStr">
        <is>
          <t>新竹舊市區(北區/西區)零星都更無可指名住宅成案列表；已檢索樂居/591/都更查詢。</t>
        </is>
      </c>
      <c r="K85" s="5">
        <f>COUNTIFS(建案總表_642案!$C$2:$C$643,$C85)</f>
        <v/>
      </c>
    </row>
    <row r="86">
      <c r="A86" s="5" t="n">
        <v>85</v>
      </c>
      <c r="B86" s="5" t="inlineStr">
        <is>
          <t>新竹縣</t>
        </is>
      </c>
      <c r="C86" s="5" t="inlineStr">
        <is>
          <t>A21008</t>
        </is>
      </c>
      <c r="D86" s="5" t="inlineStr">
        <is>
          <t>hsinchu-county</t>
        </is>
      </c>
      <c r="E86" s="5" t="inlineStr">
        <is>
          <t>北部地區</t>
        </is>
      </c>
      <c r="F86" s="5" t="inlineStr">
        <is>
          <t>公辦市地重劃</t>
        </is>
      </c>
      <c r="G86" s="5" t="inlineStr">
        <is>
          <t>public-urban-land-readjustment.html</t>
        </is>
      </c>
      <c r="H86" s="5" t="inlineStr">
        <is>
          <t>竹北多期公辦重劃</t>
        </is>
      </c>
      <c r="I86" s="5" t="inlineStr">
        <is>
          <t>researched</t>
        </is>
      </c>
      <c r="J86" s="5" t="inlineStr">
        <is>
          <t>涵蓋竹北縣治一期/二期/三期及台科大(斗崙)重劃區；建案取自HouseFeel彙整樂居/實價登錄列表頁，戶數坪數單價可於來源URL核對。</t>
        </is>
      </c>
      <c r="K86" s="5">
        <f>COUNTIFS(建案總表_642案!$C$2:$C$643,$C86)</f>
        <v/>
      </c>
    </row>
    <row r="87">
      <c r="A87" s="5" t="n">
        <v>86</v>
      </c>
      <c r="B87" s="5" t="inlineStr">
        <is>
          <t>新竹縣</t>
        </is>
      </c>
      <c r="C87" s="5" t="inlineStr">
        <is>
          <t>A21008</t>
        </is>
      </c>
      <c r="D87" s="5" t="inlineStr">
        <is>
          <t>hsinchu-county</t>
        </is>
      </c>
      <c r="E87" s="5" t="inlineStr">
        <is>
          <t>北部地區</t>
        </is>
      </c>
      <c r="F87" s="5" t="inlineStr">
        <is>
          <t>公辦市地重劃</t>
        </is>
      </c>
      <c r="G87" s="5" t="inlineStr">
        <is>
          <t>public-urban-land-readjustment.html</t>
        </is>
      </c>
      <c r="H87" s="5" t="inlineStr">
        <is>
          <t>湖口公辦重劃</t>
        </is>
      </c>
      <c r="I87" s="5" t="inlineStr">
        <is>
          <t>researched</t>
        </is>
      </c>
      <c r="J87" s="5" t="inlineStr">
        <is>
          <t>湖口鄉北湖車站生活圈/重劃區透天與大樓案，取自591新建案與新竹房地王個案頁；區內多為小型透天別墅案。</t>
        </is>
      </c>
      <c r="K87" s="5">
        <f>COUNTIFS(建案總表_642案!$C$2:$C$643,$C87)</f>
        <v/>
      </c>
    </row>
    <row r="88">
      <c r="A88" s="5" t="n">
        <v>87</v>
      </c>
      <c r="B88" s="5" t="inlineStr">
        <is>
          <t>新竹縣</t>
        </is>
      </c>
      <c r="C88" s="5" t="inlineStr">
        <is>
          <t>A21008</t>
        </is>
      </c>
      <c r="D88" s="5" t="inlineStr">
        <is>
          <t>hsinchu-county</t>
        </is>
      </c>
      <c r="E88" s="5" t="inlineStr">
        <is>
          <t>北部地區</t>
        </is>
      </c>
      <c r="F88" s="5" t="inlineStr">
        <is>
          <t>公辦市地重劃</t>
        </is>
      </c>
      <c r="G88" s="5" t="inlineStr">
        <is>
          <t>public-urban-land-readjustment.html</t>
        </is>
      </c>
      <c r="H88" s="5" t="inlineStr">
        <is>
          <t>其他鄉鎮公辦案</t>
        </is>
      </c>
      <c r="I88" s="5" t="inlineStr">
        <is>
          <t>no_named_zone</t>
        </is>
      </c>
      <c r="J88" s="5" t="inlineStr">
        <is>
          <t>佔位型案名，新竹縣除竹北/湖口外其餘鄉鎮未查得可指名之公辦市地重劃住宅建案；已檢索樂居/591/房地王。</t>
        </is>
      </c>
      <c r="K88" s="5">
        <f>COUNTIFS(建案總表_642案!$C$2:$C$643,$C88)</f>
        <v/>
      </c>
    </row>
    <row r="89">
      <c r="A89" s="5" t="n">
        <v>88</v>
      </c>
      <c r="B89" s="5" t="inlineStr">
        <is>
          <t>新竹縣</t>
        </is>
      </c>
      <c r="C89" s="5" t="inlineStr">
        <is>
          <t>A21008</t>
        </is>
      </c>
      <c r="D89" s="5" t="inlineStr">
        <is>
          <t>hsinchu-county</t>
        </is>
      </c>
      <c r="E89" s="5" t="inlineStr">
        <is>
          <t>北部地區</t>
        </is>
      </c>
      <c r="F89" s="5" t="inlineStr">
        <is>
          <t>自辦市地重劃</t>
        </is>
      </c>
      <c r="G89" s="5" t="inlineStr">
        <is>
          <t>private-urban-land-readjustment.html</t>
        </is>
      </c>
      <c r="H89" s="5" t="inlineStr">
        <is>
          <t>鄉鎮零星自辦案</t>
        </is>
      </c>
      <c r="I89" s="5" t="inlineStr">
        <is>
          <t>no_named_zone</t>
        </is>
      </c>
      <c r="J89" s="5" t="inlineStr">
        <is>
          <t>佔位型案名，鄉鎮零星自辦重劃無可指名列表；已檢索樂居新竹縣列表與591新建案。</t>
        </is>
      </c>
      <c r="K89" s="5">
        <f>COUNTIFS(建案總表_642案!$C$2:$C$643,$C89)</f>
        <v/>
      </c>
    </row>
    <row r="90">
      <c r="A90" s="5" t="n">
        <v>89</v>
      </c>
      <c r="B90" s="5" t="inlineStr">
        <is>
          <t>新竹縣</t>
        </is>
      </c>
      <c r="C90" s="5" t="inlineStr">
        <is>
          <t>A21008</t>
        </is>
      </c>
      <c r="D90" s="5" t="inlineStr">
        <is>
          <t>hsinchu-county</t>
        </is>
      </c>
      <c r="E90" s="5" t="inlineStr">
        <is>
          <t>北部地區</t>
        </is>
      </c>
      <c r="F90" s="5" t="inlineStr">
        <is>
          <t>區段徵收</t>
        </is>
      </c>
      <c r="G90" s="5" t="inlineStr">
        <is>
          <t>zone-expropriation.html</t>
        </is>
      </c>
      <c r="H90" s="5" t="inlineStr">
        <is>
          <t>竹北高鐵特區</t>
        </is>
      </c>
      <c r="I90" s="5" t="inlineStr">
        <is>
          <t>researched</t>
        </is>
      </c>
      <c r="J90" s="5" t="inlineStr">
        <is>
          <t>竹北高鐵特定區(約309公頃)，L3市場重負載區；建案取自HouseFeel彙整樂居網(更新2026/04)及5168/樂居列表頁，戶數坪數單價皆可溯源。</t>
        </is>
      </c>
      <c r="K90" s="5">
        <f>COUNTIFS(建案總表_642案!$C$2:$C$643,$C90)</f>
        <v/>
      </c>
    </row>
    <row r="91">
      <c r="A91" s="5" t="n">
        <v>90</v>
      </c>
      <c r="B91" s="5" t="inlineStr">
        <is>
          <t>新竹縣</t>
        </is>
      </c>
      <c r="C91" s="5" t="inlineStr">
        <is>
          <t>A21008</t>
        </is>
      </c>
      <c r="D91" s="5" t="inlineStr">
        <is>
          <t>hsinchu-county</t>
        </is>
      </c>
      <c r="E91" s="5" t="inlineStr">
        <is>
          <t>北部地區</t>
        </is>
      </c>
      <c r="F91" s="5" t="inlineStr">
        <is>
          <t>都市更新</t>
        </is>
      </c>
      <c r="G91" s="5" t="inlineStr">
        <is>
          <t>urban-renewal.html</t>
        </is>
      </c>
      <c r="H91" s="5" t="inlineStr">
        <is>
          <t>舊市區零星都更</t>
        </is>
      </c>
      <c r="I91" s="5" t="inlineStr">
        <is>
          <t>no_data</t>
        </is>
      </c>
      <c r="J91" s="5" t="inlineStr">
        <is>
          <t>竹北舊市區零星都更無可指名住宅建案列表；已檢索新竹縣都更/樂居/591，查無具名成案。</t>
        </is>
      </c>
      <c r="K91" s="5">
        <f>COUNTIFS(建案總表_642案!$C$2:$C$643,$C91)</f>
        <v/>
      </c>
    </row>
    <row r="92">
      <c r="A92" s="5" t="n">
        <v>91</v>
      </c>
      <c r="B92" s="5" t="inlineStr">
        <is>
          <t>苗栗縣</t>
        </is>
      </c>
      <c r="C92" s="5" t="inlineStr">
        <is>
          <t>A21009</t>
        </is>
      </c>
      <c r="D92" s="5" t="inlineStr">
        <is>
          <t>miaoli</t>
        </is>
      </c>
      <c r="E92" s="5" t="inlineStr">
        <is>
          <t>北部地區</t>
        </is>
      </c>
      <c r="F92" s="5" t="inlineStr">
        <is>
          <t>公辦市地重劃</t>
        </is>
      </c>
      <c r="G92" s="5" t="inlineStr">
        <is>
          <t>public-urban-land-readjustment.html</t>
        </is>
      </c>
      <c r="H92" s="5" t="inlineStr">
        <is>
          <t>竹南公辦重劃</t>
        </is>
      </c>
      <c r="I92" s="5" t="inlineStr">
        <is>
          <t>researched</t>
        </is>
      </c>
      <c r="J92" s="5" t="inlineStr">
        <is>
          <t>竹南大埔重劃區(竹南科學園區/台積電先進封測六廠旁)；取自Knowhouse/房地王/591個案頁。福德美居落區待地籍複核（591頁僅標竹南站前生活圈/福德路170號，未明載屬大埔公辦重劃區）。</t>
        </is>
      </c>
      <c r="K92" s="5">
        <f>COUNTIFS(建案總表_642案!$C$2:$C$643,$C92)</f>
        <v/>
      </c>
    </row>
    <row r="93">
      <c r="A93" s="5" t="n">
        <v>92</v>
      </c>
      <c r="B93" s="5" t="inlineStr">
        <is>
          <t>苗栗縣</t>
        </is>
      </c>
      <c r="C93" s="5" t="inlineStr">
        <is>
          <t>A21009</t>
        </is>
      </c>
      <c r="D93" s="5" t="inlineStr">
        <is>
          <t>miaoli</t>
        </is>
      </c>
      <c r="E93" s="5" t="inlineStr">
        <is>
          <t>北部地區</t>
        </is>
      </c>
      <c r="F93" s="5" t="inlineStr">
        <is>
          <t>公辦市地重劃</t>
        </is>
      </c>
      <c r="G93" s="5" t="inlineStr">
        <is>
          <t>public-urban-land-readjustment.html</t>
        </is>
      </c>
      <c r="H93" s="5" t="inlineStr">
        <is>
          <t>頭份公辦重劃</t>
        </is>
      </c>
      <c r="I93" s="5" t="inlineStr">
        <is>
          <t>researched</t>
        </is>
      </c>
      <c r="J93" s="5" t="inlineStr">
        <is>
          <t>頭份市區(信義路/中央路)重劃與造鎮案；取自房地王/591/不動產平台。</t>
        </is>
      </c>
      <c r="K93" s="5">
        <f>COUNTIFS(建案總表_642案!$C$2:$C$643,$C93)</f>
        <v/>
      </c>
    </row>
    <row r="94">
      <c r="A94" s="5" t="n">
        <v>93</v>
      </c>
      <c r="B94" s="5" t="inlineStr">
        <is>
          <t>苗栗縣</t>
        </is>
      </c>
      <c r="C94" s="5" t="inlineStr">
        <is>
          <t>A21009</t>
        </is>
      </c>
      <c r="D94" s="5" t="inlineStr">
        <is>
          <t>miaoli</t>
        </is>
      </c>
      <c r="E94" s="5" t="inlineStr">
        <is>
          <t>北部地區</t>
        </is>
      </c>
      <c r="F94" s="5" t="inlineStr">
        <is>
          <t>自辦市地重劃</t>
        </is>
      </c>
      <c r="G94" s="5" t="inlineStr">
        <is>
          <t>private-urban-land-readjustment.html</t>
        </is>
      </c>
      <c r="H94" s="5" t="inlineStr">
        <is>
          <t>苗栗市自辦重劃</t>
        </is>
      </c>
      <c r="I94" s="5" t="inlineStr">
        <is>
          <t>researched</t>
        </is>
      </c>
      <c r="J94" s="5" t="inlineStr">
        <is>
          <t>苗栗市自治路一帶自辦/小規模推案；樂居苗栗市新建案列表頁可核對，區內多為8戶左右小案。</t>
        </is>
      </c>
      <c r="K94" s="5">
        <f>COUNTIFS(建案總表_642案!$C$2:$C$643,$C94)</f>
        <v/>
      </c>
    </row>
    <row r="95">
      <c r="A95" s="5" t="n">
        <v>94</v>
      </c>
      <c r="B95" s="5" t="inlineStr">
        <is>
          <t>苗栗縣</t>
        </is>
      </c>
      <c r="C95" s="5" t="inlineStr">
        <is>
          <t>A21009</t>
        </is>
      </c>
      <c r="D95" s="5" t="inlineStr">
        <is>
          <t>miaoli</t>
        </is>
      </c>
      <c r="E95" s="5" t="inlineStr">
        <is>
          <t>北部地區</t>
        </is>
      </c>
      <c r="F95" s="5" t="inlineStr">
        <is>
          <t>自辦市地重劃</t>
        </is>
      </c>
      <c r="G95" s="5" t="inlineStr">
        <is>
          <t>private-urban-land-readjustment.html</t>
        </is>
      </c>
      <c r="H95" s="5" t="inlineStr">
        <is>
          <t>其他鄉鎮自辦案</t>
        </is>
      </c>
      <c r="I95" s="5" t="inlineStr">
        <is>
          <t>researched</t>
        </is>
      </c>
      <c r="J95" s="5" t="inlineStr">
        <is>
          <t>以後龍鎮為代表之其他鄉鎮自辦/透天推案；取自房地王/Knowhouse個案頁。</t>
        </is>
      </c>
      <c r="K95" s="5">
        <f>COUNTIFS(建案總表_642案!$C$2:$C$643,$C95)</f>
        <v/>
      </c>
    </row>
    <row r="96">
      <c r="A96" s="5" t="n">
        <v>95</v>
      </c>
      <c r="B96" s="5" t="inlineStr">
        <is>
          <t>苗栗縣</t>
        </is>
      </c>
      <c r="C96" s="5" t="inlineStr">
        <is>
          <t>A21009</t>
        </is>
      </c>
      <c r="D96" s="5" t="inlineStr">
        <is>
          <t>miaoli</t>
        </is>
      </c>
      <c r="E96" s="5" t="inlineStr">
        <is>
          <t>北部地區</t>
        </is>
      </c>
      <c r="F96" s="5" t="inlineStr">
        <is>
          <t>都市更新</t>
        </is>
      </c>
      <c r="G96" s="5" t="inlineStr">
        <is>
          <t>urban-renewal.html</t>
        </is>
      </c>
      <c r="H96" s="5" t="inlineStr">
        <is>
          <t>舊市區零星都更</t>
        </is>
      </c>
      <c r="I96" s="5" t="inlineStr">
        <is>
          <t>no_data</t>
        </is>
      </c>
      <c r="J96" s="5" t="inlineStr">
        <is>
          <t>苗栗市/頭份舊市區零星都更無可指名住宅成案；已檢索樂居/591，查無具名都更住宅案。</t>
        </is>
      </c>
      <c r="K96" s="5">
        <f>COUNTIFS(建案總表_642案!$C$2:$C$643,$C96)</f>
        <v/>
      </c>
    </row>
    <row r="97">
      <c r="A97" s="5" t="n">
        <v>96</v>
      </c>
      <c r="B97" s="5" t="inlineStr">
        <is>
          <t>宜蘭縣</t>
        </is>
      </c>
      <c r="C97" s="5" t="inlineStr">
        <is>
          <t>A21015</t>
        </is>
      </c>
      <c r="D97" s="5" t="inlineStr">
        <is>
          <t>yilan</t>
        </is>
      </c>
      <c r="E97" s="5" t="inlineStr">
        <is>
          <t>北部地區</t>
        </is>
      </c>
      <c r="F97" s="5" t="inlineStr">
        <is>
          <t>公辦市地重劃</t>
        </is>
      </c>
      <c r="G97" s="5" t="inlineStr">
        <is>
          <t>public-urban-land-readjustment.html</t>
        </is>
      </c>
      <c r="H97" s="5" t="inlineStr">
        <is>
          <t>羅東公辦重劃</t>
        </is>
      </c>
      <c r="I97" s="5" t="inlineStr">
        <is>
          <t>researched</t>
        </is>
      </c>
      <c r="J97" s="5" t="inlineStr">
        <is>
          <t>羅東鎮公寓/店住為主；另羅東都市計畫竹林地區工商綜合專用區市地重劃案(L1,MyGo地主專區)約4.6公頃。</t>
        </is>
      </c>
      <c r="K97" s="5">
        <f>COUNTIFS(建案總表_642案!$C$2:$C$643,$C97)</f>
        <v/>
      </c>
    </row>
    <row r="98">
      <c r="A98" s="5" t="n">
        <v>97</v>
      </c>
      <c r="B98" s="5" t="inlineStr">
        <is>
          <t>宜蘭縣</t>
        </is>
      </c>
      <c r="C98" s="5" t="inlineStr">
        <is>
          <t>A21015</t>
        </is>
      </c>
      <c r="D98" s="5" t="inlineStr">
        <is>
          <t>yilan</t>
        </is>
      </c>
      <c r="E98" s="5" t="inlineStr">
        <is>
          <t>北部地區</t>
        </is>
      </c>
      <c r="F98" s="5" t="inlineStr">
        <is>
          <t>自辦市地重劃</t>
        </is>
      </c>
      <c r="G98" s="5" t="inlineStr">
        <is>
          <t>private-urban-land-readjustment.html</t>
        </is>
      </c>
      <c r="H98" s="5" t="inlineStr">
        <is>
          <t>宜蘭市小型自辦重劃</t>
        </is>
      </c>
      <c r="I98" s="5" t="inlineStr">
        <is>
          <t>researched</t>
        </is>
      </c>
      <c r="J98" s="5" t="inlineStr">
        <is>
          <t>宜蘭市縣政特區/建蘭北路一帶；取自5168/台北房地王/德築官網。</t>
        </is>
      </c>
      <c r="K98" s="5">
        <f>COUNTIFS(建案總表_642案!$C$2:$C$643,$C98)</f>
        <v/>
      </c>
    </row>
    <row r="99">
      <c r="A99" s="5" t="n">
        <v>98</v>
      </c>
      <c r="B99" s="5" t="inlineStr">
        <is>
          <t>宜蘭縣</t>
        </is>
      </c>
      <c r="C99" s="5" t="inlineStr">
        <is>
          <t>A21015</t>
        </is>
      </c>
      <c r="D99" s="5" t="inlineStr">
        <is>
          <t>yilan</t>
        </is>
      </c>
      <c r="E99" s="5" t="inlineStr">
        <is>
          <t>北部地區</t>
        </is>
      </c>
      <c r="F99" s="5" t="inlineStr">
        <is>
          <t>區段徵收</t>
        </is>
      </c>
      <c r="G99" s="5" t="inlineStr">
        <is>
          <t>zone-expropriation.html</t>
        </is>
      </c>
      <c r="H99" s="5" t="inlineStr">
        <is>
          <t>羅東特定區段徵收</t>
        </is>
      </c>
      <c r="I99" s="5" t="inlineStr">
        <is>
          <t>researched</t>
        </is>
      </c>
      <c r="J99" s="5" t="inlineStr">
        <is>
          <t>羅東特定區(羅東都市計畫)段徵案；L1為羅東竹林工商綜合專用區市地重劃(MyGo)，未查得可指名住宅建案列表，已檢索樂居/591/HouseFeel。</t>
        </is>
      </c>
      <c r="K99" s="5">
        <f>COUNTIFS(建案總表_642案!$C$2:$C$643,$C99)</f>
        <v/>
      </c>
    </row>
    <row r="100">
      <c r="A100" s="5" t="n">
        <v>99</v>
      </c>
      <c r="B100" s="5" t="inlineStr">
        <is>
          <t>宜蘭縣</t>
        </is>
      </c>
      <c r="C100" s="5" t="inlineStr">
        <is>
          <t>A21015</t>
        </is>
      </c>
      <c r="D100" s="5" t="inlineStr">
        <is>
          <t>yilan</t>
        </is>
      </c>
      <c r="E100" s="5" t="inlineStr">
        <is>
          <t>北部地區</t>
        </is>
      </c>
      <c r="F100" s="5" t="inlineStr">
        <is>
          <t>都市更新</t>
        </is>
      </c>
      <c r="G100" s="5" t="inlineStr">
        <is>
          <t>urban-renewal.html</t>
        </is>
      </c>
      <c r="H100" s="5" t="inlineStr">
        <is>
          <t>舊市區零星都更</t>
        </is>
      </c>
      <c r="I100" s="5" t="inlineStr">
        <is>
          <t>no_data</t>
        </is>
      </c>
      <c r="J100" s="5" t="inlineStr">
        <is>
          <t>宜蘭市/羅東舊市區零星都更無可指名住宅成案；已檢索樂居/591，查無具名都更住宅案。</t>
        </is>
      </c>
      <c r="K100" s="5">
        <f>COUNTIFS(建案總表_642案!$C$2:$C$643,$C100)</f>
        <v/>
      </c>
    </row>
    <row r="101">
      <c r="A101" s="5" t="n">
        <v>100</v>
      </c>
      <c r="B101" s="5" t="inlineStr">
        <is>
          <t>彰化縣</t>
        </is>
      </c>
      <c r="C101" s="5" t="inlineStr">
        <is>
          <t>A21010</t>
        </is>
      </c>
      <c r="D101" s="5" t="inlineStr">
        <is>
          <t>changhua</t>
        </is>
      </c>
      <c r="E101" s="5" t="inlineStr">
        <is>
          <t>中部地區</t>
        </is>
      </c>
      <c r="F101" s="5" t="inlineStr">
        <is>
          <t>公辦市地重劃</t>
        </is>
      </c>
      <c r="G101" s="5" t="inlineStr">
        <is>
          <t>public-urban-land-readjustment.html</t>
        </is>
      </c>
      <c r="H101" s="5" t="inlineStr">
        <is>
          <t>彰化市公辦重劃</t>
        </is>
      </c>
      <c r="I101" s="5" t="inlineStr">
        <is>
          <t>researched</t>
        </is>
      </c>
      <c r="J101" s="5" t="inlineStr">
        <is>
          <t>彰化市公辦重劃區多散佈在中正路二段、進德路、師大商圈周邊，列市區代表性新建大樓；邊界以樂居彰化市區生活圈（N500）與5168實價登錄清單為準。</t>
        </is>
      </c>
      <c r="K101" s="5">
        <f>COUNTIFS(建案總表_642案!$C$2:$C$643,$C101)</f>
        <v/>
      </c>
    </row>
    <row r="102">
      <c r="A102" s="5" t="n">
        <v>101</v>
      </c>
      <c r="B102" s="5" t="inlineStr">
        <is>
          <t>彰化縣</t>
        </is>
      </c>
      <c r="C102" s="5" t="inlineStr">
        <is>
          <t>A21010</t>
        </is>
      </c>
      <c r="D102" s="5" t="inlineStr">
        <is>
          <t>changhua</t>
        </is>
      </c>
      <c r="E102" s="5" t="inlineStr">
        <is>
          <t>中部地區</t>
        </is>
      </c>
      <c r="F102" s="5" t="inlineStr">
        <is>
          <t>公辦市地重劃</t>
        </is>
      </c>
      <c r="G102" s="5" t="inlineStr">
        <is>
          <t>public-urban-land-readjustment.html</t>
        </is>
      </c>
      <c r="H102" s="5" t="inlineStr">
        <is>
          <t>員林公辦重劃</t>
        </is>
      </c>
      <c r="I102" s="5" t="inlineStr">
        <is>
          <t>researched</t>
        </is>
      </c>
      <c r="J102" s="5" t="inlineStr">
        <is>
          <t>員林184公辦重劃區以員林大道五段為主軸，多家建案網站明確標示「184重劃區」，判斷屬實。</t>
        </is>
      </c>
      <c r="K102" s="5">
        <f>COUNTIFS(建案總表_642案!$C$2:$C$643,$C102)</f>
        <v/>
      </c>
    </row>
    <row r="103">
      <c r="A103" s="5" t="n">
        <v>102</v>
      </c>
      <c r="B103" s="5" t="inlineStr">
        <is>
          <t>彰化縣</t>
        </is>
      </c>
      <c r="C103" s="5" t="inlineStr">
        <is>
          <t>A21010</t>
        </is>
      </c>
      <c r="D103" s="5" t="inlineStr">
        <is>
          <t>changhua</t>
        </is>
      </c>
      <c r="E103" s="5" t="inlineStr">
        <is>
          <t>中部地區</t>
        </is>
      </c>
      <c r="F103" s="5" t="inlineStr">
        <is>
          <t>自辦市地重劃</t>
        </is>
      </c>
      <c r="G103" s="5" t="inlineStr">
        <is>
          <t>private-urban-land-readjustment.html</t>
        </is>
      </c>
      <c r="H103" s="5" t="inlineStr">
        <is>
          <t>鹿港自辦重劃</t>
        </is>
      </c>
      <c r="I103" s="5" t="inlineStr">
        <is>
          <t>researched</t>
        </is>
      </c>
      <c r="J103" s="5" t="inlineStr">
        <is>
          <t>鹿港鎮自辦重劃散佈鹿和路、永福路、國中周邊；housetube 標註「重劃區」之鹿港建案多屬此類。</t>
        </is>
      </c>
      <c r="K103" s="5">
        <f>COUNTIFS(建案總表_642案!$C$2:$C$643,$C103)</f>
        <v/>
      </c>
    </row>
    <row r="104">
      <c r="A104" s="5" t="n">
        <v>103</v>
      </c>
      <c r="B104" s="5" t="inlineStr">
        <is>
          <t>彰化縣</t>
        </is>
      </c>
      <c r="C104" s="5" t="inlineStr">
        <is>
          <t>A21010</t>
        </is>
      </c>
      <c r="D104" s="5" t="inlineStr">
        <is>
          <t>changhua</t>
        </is>
      </c>
      <c r="E104" s="5" t="inlineStr">
        <is>
          <t>中部地區</t>
        </is>
      </c>
      <c r="F104" s="5" t="inlineStr">
        <is>
          <t>自辦市地重劃</t>
        </is>
      </c>
      <c r="G104" s="5" t="inlineStr">
        <is>
          <t>private-urban-land-readjustment.html</t>
        </is>
      </c>
      <c r="H104" s="5" t="inlineStr">
        <is>
          <t>和美自辦重劃</t>
        </is>
      </c>
      <c r="I104" s="5" t="inlineStr">
        <is>
          <t>researched</t>
        </is>
      </c>
      <c r="J104" s="5" t="inlineStr">
        <is>
          <t>和美鎮新建案集中於市區及外圍自辦重劃，housetube 和美鎮清單（c194）共18筆；列代表性透天/大樓案。</t>
        </is>
      </c>
      <c r="K104" s="5">
        <f>COUNTIFS(建案總表_642案!$C$2:$C$643,$C104)</f>
        <v/>
      </c>
    </row>
    <row r="105">
      <c r="A105" s="5" t="n">
        <v>104</v>
      </c>
      <c r="B105" s="5" t="inlineStr">
        <is>
          <t>彰化縣</t>
        </is>
      </c>
      <c r="C105" s="5" t="inlineStr">
        <is>
          <t>A21010</t>
        </is>
      </c>
      <c r="D105" s="5" t="inlineStr">
        <is>
          <t>changhua</t>
        </is>
      </c>
      <c r="E105" s="5" t="inlineStr">
        <is>
          <t>中部地區</t>
        </is>
      </c>
      <c r="F105" s="5" t="inlineStr">
        <is>
          <t>自辦市地重劃</t>
        </is>
      </c>
      <c r="G105" s="5" t="inlineStr">
        <is>
          <t>private-urban-land-readjustment.html</t>
        </is>
      </c>
      <c r="H105" s="5" t="inlineStr">
        <is>
          <t>其他鄉鎮大量自辦案</t>
        </is>
      </c>
      <c r="I105" s="5" t="inlineStr">
        <is>
          <t>researched</t>
        </is>
      </c>
      <c r="J105" s="5" t="inlineStr">
        <is>
          <t>彰化其他鄉鎮（溪州/伸港/溪湖/二林等）自辦重劃為透天別墅散點開發，無統一公辦重劃區；以可查證的溪州交流道附近案代表。其餘鄉鎮無具名重劃區資料。</t>
        </is>
      </c>
      <c r="K105" s="5">
        <f>COUNTIFS(建案總表_642案!$C$2:$C$643,$C105)</f>
        <v/>
      </c>
    </row>
    <row r="106">
      <c r="A106" s="5" t="n">
        <v>105</v>
      </c>
      <c r="B106" s="5" t="inlineStr">
        <is>
          <t>彰化縣</t>
        </is>
      </c>
      <c r="C106" s="5" t="inlineStr">
        <is>
          <t>A21010</t>
        </is>
      </c>
      <c r="D106" s="5" t="inlineStr">
        <is>
          <t>changhua</t>
        </is>
      </c>
      <c r="E106" s="5" t="inlineStr">
        <is>
          <t>中部地區</t>
        </is>
      </c>
      <c r="F106" s="5" t="inlineStr">
        <is>
          <t>自辦市地重劃</t>
        </is>
      </c>
      <c r="G106" s="5" t="inlineStr">
        <is>
          <t>private-urban-land-readjustment.html</t>
        </is>
      </c>
      <c r="H106" s="5" t="inlineStr">
        <is>
          <t>（全台自辦重劃密度最高）</t>
        </is>
      </c>
      <c r="I106" s="5" t="inlineStr">
        <is>
          <t>no_named_zone</t>
        </is>
      </c>
      <c r="J106" s="5" t="inlineStr">
        <is>
          <t>本項為占位型，指彰化縣整體自辦重劃密度全台最高，並非單一命名重劃區；以員林184、鹿港、和美、伸港等分散自辦重劃區為代表，散見 seq101-104。</t>
        </is>
      </c>
      <c r="K106" s="5">
        <f>COUNTIFS(建案總表_642案!$C$2:$C$643,$C106)</f>
        <v/>
      </c>
    </row>
    <row r="107">
      <c r="A107" s="5" t="n">
        <v>106</v>
      </c>
      <c r="B107" s="5" t="inlineStr">
        <is>
          <t>彰化縣</t>
        </is>
      </c>
      <c r="C107" s="5" t="inlineStr">
        <is>
          <t>A21010</t>
        </is>
      </c>
      <c r="D107" s="5" t="inlineStr">
        <is>
          <t>changhua</t>
        </is>
      </c>
      <c r="E107" s="5" t="inlineStr">
        <is>
          <t>中部地區</t>
        </is>
      </c>
      <c r="F107" s="5" t="inlineStr">
        <is>
          <t>都市更新</t>
        </is>
      </c>
      <c r="G107" s="5" t="inlineStr">
        <is>
          <t>urban-renewal.html</t>
        </is>
      </c>
      <c r="H107" s="5" t="inlineStr">
        <is>
          <t>舊市區零星都更</t>
        </is>
      </c>
      <c r="I107" s="5" t="inlineStr">
        <is>
          <t>researched</t>
        </is>
      </c>
      <c r="J107" s="5" t="inlineStr">
        <is>
          <t>彰化縣都更以彰化市西勢子段（永安夜市）與員林站前黃金帝國兩案為指標；其他老舊建物多走危老重建，無完整社區規模。</t>
        </is>
      </c>
      <c r="K107" s="5">
        <f>COUNTIFS(建案總表_642案!$C$2:$C$643,$C107)</f>
        <v/>
      </c>
    </row>
    <row r="108">
      <c r="A108" s="5" t="n">
        <v>107</v>
      </c>
      <c r="B108" s="5" t="inlineStr">
        <is>
          <t>南投縣</t>
        </is>
      </c>
      <c r="C108" s="5" t="inlineStr">
        <is>
          <t>A21022</t>
        </is>
      </c>
      <c r="D108" s="5" t="inlineStr">
        <is>
          <t>nantou</t>
        </is>
      </c>
      <c r="E108" s="5" t="inlineStr">
        <is>
          <t>中部地區</t>
        </is>
      </c>
      <c r="F108" s="5" t="inlineStr">
        <is>
          <t>公辦市地重劃</t>
        </is>
      </c>
      <c r="G108" s="5" t="inlineStr">
        <is>
          <t>public-urban-land-readjustment.html</t>
        </is>
      </c>
      <c r="H108" s="5" t="inlineStr">
        <is>
          <t>縣治小型公辦案</t>
        </is>
      </c>
      <c r="I108" s="5" t="inlineStr">
        <is>
          <t>researched</t>
        </is>
      </c>
      <c r="J108" s="5" t="inlineStr">
        <is>
          <t>南投縣治區小型公辦重劃範圍小，市場以漳和、同源二街、東山路周邊新成屋為代表。</t>
        </is>
      </c>
      <c r="K108" s="5">
        <f>COUNTIFS(建案總表_642案!$C$2:$C$643,$C108)</f>
        <v/>
      </c>
    </row>
    <row r="109">
      <c r="A109" s="5" t="n">
        <v>108</v>
      </c>
      <c r="B109" s="5" t="inlineStr">
        <is>
          <t>南投縣</t>
        </is>
      </c>
      <c r="C109" s="5" t="inlineStr">
        <is>
          <t>A21022</t>
        </is>
      </c>
      <c r="D109" s="5" t="inlineStr">
        <is>
          <t>nantou</t>
        </is>
      </c>
      <c r="E109" s="5" t="inlineStr">
        <is>
          <t>中部地區</t>
        </is>
      </c>
      <c r="F109" s="5" t="inlineStr">
        <is>
          <t>自辦市地重劃</t>
        </is>
      </c>
      <c r="G109" s="5" t="inlineStr">
        <is>
          <t>private-urban-land-readjustment.html</t>
        </is>
      </c>
      <c r="H109" s="5" t="inlineStr">
        <is>
          <t>埔里自辦重劃</t>
        </is>
      </c>
      <c r="I109" s="5" t="inlineStr">
        <is>
          <t>researched</t>
        </is>
      </c>
      <c r="J109" s="5" t="inlineStr">
        <is>
          <t>埔里鎮自辦重劃集中大湳、琵琶路周邊；housetube 多筆標「重劃區/近公園」。</t>
        </is>
      </c>
      <c r="K109" s="5">
        <f>COUNTIFS(建案總表_642案!$C$2:$C$643,$C109)</f>
        <v/>
      </c>
    </row>
    <row r="110">
      <c r="A110" s="5" t="n">
        <v>109</v>
      </c>
      <c r="B110" s="5" t="inlineStr">
        <is>
          <t>南投縣</t>
        </is>
      </c>
      <c r="C110" s="5" t="inlineStr">
        <is>
          <t>A21022</t>
        </is>
      </c>
      <c r="D110" s="5" t="inlineStr">
        <is>
          <t>nantou</t>
        </is>
      </c>
      <c r="E110" s="5" t="inlineStr">
        <is>
          <t>中部地區</t>
        </is>
      </c>
      <c r="F110" s="5" t="inlineStr">
        <is>
          <t>自辦市地重劃</t>
        </is>
      </c>
      <c r="G110" s="5" t="inlineStr">
        <is>
          <t>private-urban-land-readjustment.html</t>
        </is>
      </c>
      <c r="H110" s="5" t="inlineStr">
        <is>
          <t>草屯自辦重劃</t>
        </is>
      </c>
      <c r="I110" s="5" t="inlineStr">
        <is>
          <t>researched</t>
        </is>
      </c>
      <c r="J110" s="5" t="inlineStr">
        <is>
          <t>草屯重劃區為透天別墅為主，placeking/formosaking 均出現「草屯重劃區」建地標售，判斷有實際重劃範圍。</t>
        </is>
      </c>
      <c r="K110" s="5">
        <f>COUNTIFS(建案總表_642案!$C$2:$C$643,$C110)</f>
        <v/>
      </c>
    </row>
    <row r="111">
      <c r="A111" s="5" t="n">
        <v>110</v>
      </c>
      <c r="B111" s="5" t="inlineStr">
        <is>
          <t>南投縣</t>
        </is>
      </c>
      <c r="C111" s="5" t="inlineStr">
        <is>
          <t>A21022</t>
        </is>
      </c>
      <c r="D111" s="5" t="inlineStr">
        <is>
          <t>nantou</t>
        </is>
      </c>
      <c r="E111" s="5" t="inlineStr">
        <is>
          <t>中部地區</t>
        </is>
      </c>
      <c r="F111" s="5" t="inlineStr">
        <is>
          <t>自辦市地重劃</t>
        </is>
      </c>
      <c r="G111" s="5" t="inlineStr">
        <is>
          <t>private-urban-land-readjustment.html</t>
        </is>
      </c>
      <c r="H111" s="5" t="inlineStr">
        <is>
          <t>竹山自辦重劃</t>
        </is>
      </c>
      <c r="I111" s="5" t="inlineStr">
        <is>
          <t>researched</t>
        </is>
      </c>
      <c r="J111" s="5" t="inlineStr">
        <is>
          <t>竹山鎮建案以大和街、建國路周邊透天別墅為主；無明確命名重劃區，按鎮內新成屋/預售代表列舉。</t>
        </is>
      </c>
      <c r="K111" s="5">
        <f>COUNTIFS(建案總表_642案!$C$2:$C$643,$C111)</f>
        <v/>
      </c>
    </row>
    <row r="112">
      <c r="A112" s="5" t="n">
        <v>111</v>
      </c>
      <c r="B112" s="5" t="inlineStr">
        <is>
          <t>南投縣</t>
        </is>
      </c>
      <c r="C112" s="5" t="inlineStr">
        <is>
          <t>A21022</t>
        </is>
      </c>
      <c r="D112" s="5" t="inlineStr">
        <is>
          <t>nantou</t>
        </is>
      </c>
      <c r="E112" s="5" t="inlineStr">
        <is>
          <t>中部地區</t>
        </is>
      </c>
      <c r="F112" s="5" t="inlineStr">
        <is>
          <t>都市更新</t>
        </is>
      </c>
      <c r="G112" s="5" t="inlineStr">
        <is>
          <t>urban-renewal.html</t>
        </is>
      </c>
      <c r="H112" s="5" t="inlineStr">
        <is>
          <t>舊市區零星都更</t>
        </is>
      </c>
      <c r="I112" s="5" t="inlineStr">
        <is>
          <t>no_named_zone</t>
        </is>
      </c>
      <c r="J112" s="5" t="inlineStr">
        <is>
          <t>南投縣舊市區都更以危老重建為主，無具名大規模公辦都更案；公開市場資料未見完整社區型都更建案，故 builds 留空。</t>
        </is>
      </c>
      <c r="K112" s="5">
        <f>COUNTIFS(建案總表_642案!$C$2:$C$643,$C112)</f>
        <v/>
      </c>
    </row>
    <row r="113">
      <c r="A113" s="5" t="n">
        <v>112</v>
      </c>
      <c r="B113" s="5" t="inlineStr">
        <is>
          <t>雲林縣</t>
        </is>
      </c>
      <c r="C113" s="5" t="inlineStr">
        <is>
          <t>A21011</t>
        </is>
      </c>
      <c r="D113" s="5" t="inlineStr">
        <is>
          <t>yunlin</t>
        </is>
      </c>
      <c r="E113" s="5" t="inlineStr">
        <is>
          <t>中部地區</t>
        </is>
      </c>
      <c r="F113" s="5" t="inlineStr">
        <is>
          <t>公辦市地重劃</t>
        </is>
      </c>
      <c r="G113" s="5" t="inlineStr">
        <is>
          <t>public-urban-land-readjustment.html</t>
        </is>
      </c>
      <c r="H113" s="5" t="inlineStr">
        <is>
          <t>縣治小型公辦案</t>
        </is>
      </c>
      <c r="I113" s="5" t="inlineStr">
        <is>
          <t>researched</t>
        </is>
      </c>
      <c r="J113" s="5" t="inlineStr">
        <is>
          <t>斗六市區公辦重劃規模小，列斗六市代表性新建案（樂居雲林縣清單 P640）。</t>
        </is>
      </c>
      <c r="K113" s="5">
        <f>COUNTIFS(建案總表_642案!$C$2:$C$643,$C113)</f>
        <v/>
      </c>
    </row>
    <row r="114">
      <c r="A114" s="5" t="n">
        <v>113</v>
      </c>
      <c r="B114" s="5" t="inlineStr">
        <is>
          <t>雲林縣</t>
        </is>
      </c>
      <c r="C114" s="5" t="inlineStr">
        <is>
          <t>A21011</t>
        </is>
      </c>
      <c r="D114" s="5" t="inlineStr">
        <is>
          <t>yunlin</t>
        </is>
      </c>
      <c r="E114" s="5" t="inlineStr">
        <is>
          <t>中部地區</t>
        </is>
      </c>
      <c r="F114" s="5" t="inlineStr">
        <is>
          <t>自辦市地重劃</t>
        </is>
      </c>
      <c r="G114" s="5" t="inlineStr">
        <is>
          <t>private-urban-land-readjustment.html</t>
        </is>
      </c>
      <c r="H114" s="5" t="inlineStr">
        <is>
          <t>斗六自辦重劃</t>
        </is>
      </c>
      <c r="I114" s="5" t="inlineStr">
        <is>
          <t>researched</t>
        </is>
      </c>
      <c r="J114" s="5" t="inlineStr">
        <is>
          <t>社口重劃區為斗六近年發展重點區域，聖德淳風系列明確標註社口重劃區。</t>
        </is>
      </c>
      <c r="K114" s="5">
        <f>COUNTIFS(建案總表_642案!$C$2:$C$643,$C114)</f>
        <v/>
      </c>
    </row>
    <row r="115">
      <c r="A115" s="5" t="n">
        <v>114</v>
      </c>
      <c r="B115" s="5" t="inlineStr">
        <is>
          <t>雲林縣</t>
        </is>
      </c>
      <c r="C115" s="5" t="inlineStr">
        <is>
          <t>A21011</t>
        </is>
      </c>
      <c r="D115" s="5" t="inlineStr">
        <is>
          <t>yunlin</t>
        </is>
      </c>
      <c r="E115" s="5" t="inlineStr">
        <is>
          <t>中部地區</t>
        </is>
      </c>
      <c r="F115" s="5" t="inlineStr">
        <is>
          <t>自辦市地重劃</t>
        </is>
      </c>
      <c r="G115" s="5" t="inlineStr">
        <is>
          <t>private-urban-land-readjustment.html</t>
        </is>
      </c>
      <c r="H115" s="5" t="inlineStr">
        <is>
          <t>虎尾自辦重劃</t>
        </is>
      </c>
      <c r="I115" s="5" t="inlineStr">
        <is>
          <t>researched</t>
        </is>
      </c>
      <c r="J115" s="5" t="inlineStr">
        <is>
          <t>虎尾鎮以光復路、農博公園周邊自辦重劃透天/華廈為代表。</t>
        </is>
      </c>
      <c r="K115" s="5">
        <f>COUNTIFS(建案總表_642案!$C$2:$C$643,$C115)</f>
        <v/>
      </c>
    </row>
    <row r="116">
      <c r="A116" s="5" t="n">
        <v>115</v>
      </c>
      <c r="B116" s="5" t="inlineStr">
        <is>
          <t>雲林縣</t>
        </is>
      </c>
      <c r="C116" s="5" t="inlineStr">
        <is>
          <t>A21011</t>
        </is>
      </c>
      <c r="D116" s="5" t="inlineStr">
        <is>
          <t>yunlin</t>
        </is>
      </c>
      <c r="E116" s="5" t="inlineStr">
        <is>
          <t>中部地區</t>
        </is>
      </c>
      <c r="F116" s="5" t="inlineStr">
        <is>
          <t>自辦市地重劃</t>
        </is>
      </c>
      <c r="G116" s="5" t="inlineStr">
        <is>
          <t>private-urban-land-readjustment.html</t>
        </is>
      </c>
      <c r="H116" s="5" t="inlineStr">
        <is>
          <t>北港自辦重劃</t>
        </is>
      </c>
      <c r="I116" s="5" t="inlineStr">
        <is>
          <t>researched</t>
        </is>
      </c>
      <c r="J116" s="5" t="inlineStr">
        <is>
          <t>北港重劃區散見 myvillaking 「北港重劃區大地坪全新別墅」標售，市場以電梯公寓與透天為主。</t>
        </is>
      </c>
      <c r="K116" s="5">
        <f>COUNTIFS(建案總表_642案!$C$2:$C$643,$C116)</f>
        <v/>
      </c>
    </row>
    <row r="117">
      <c r="A117" s="5" t="n">
        <v>116</v>
      </c>
      <c r="B117" s="5" t="inlineStr">
        <is>
          <t>雲林縣</t>
        </is>
      </c>
      <c r="C117" s="5" t="inlineStr">
        <is>
          <t>A21011</t>
        </is>
      </c>
      <c r="D117" s="5" t="inlineStr">
        <is>
          <t>yunlin</t>
        </is>
      </c>
      <c r="E117" s="5" t="inlineStr">
        <is>
          <t>中部地區</t>
        </is>
      </c>
      <c r="F117" s="5" t="inlineStr">
        <is>
          <t>自辦市地重劃</t>
        </is>
      </c>
      <c r="G117" s="5" t="inlineStr">
        <is>
          <t>private-urban-land-readjustment.html</t>
        </is>
      </c>
      <c r="H117" s="5" t="inlineStr">
        <is>
          <t>其他鄉鎮自辦案</t>
        </is>
      </c>
      <c r="I117" s="5" t="inlineStr">
        <is>
          <t>researched</t>
        </is>
      </c>
      <c r="J117" s="5" t="inlineStr">
        <is>
          <t>斗南、西螺等鄉鎮自辦重劃為透天別墅散點開發；列各鎮代表性新成屋。</t>
        </is>
      </c>
      <c r="K117" s="5">
        <f>COUNTIFS(建案總表_642案!$C$2:$C$643,$C117)</f>
        <v/>
      </c>
    </row>
    <row r="118">
      <c r="A118" s="5" t="n">
        <v>117</v>
      </c>
      <c r="B118" s="5" t="inlineStr">
        <is>
          <t>雲林縣</t>
        </is>
      </c>
      <c r="C118" s="5" t="inlineStr">
        <is>
          <t>A21011</t>
        </is>
      </c>
      <c r="D118" s="5" t="inlineStr">
        <is>
          <t>yunlin</t>
        </is>
      </c>
      <c r="E118" s="5" t="inlineStr">
        <is>
          <t>中部地區</t>
        </is>
      </c>
      <c r="F118" s="5" t="inlineStr">
        <is>
          <t>都市更新</t>
        </is>
      </c>
      <c r="G118" s="5" t="inlineStr">
        <is>
          <t>urban-renewal.html</t>
        </is>
      </c>
      <c r="H118" s="5" t="inlineStr">
        <is>
          <t>舊市區零星都更</t>
        </is>
      </c>
      <c r="I118" s="5" t="inlineStr">
        <is>
          <t>no_named_zone</t>
        </is>
      </c>
      <c r="J118" s="5" t="inlineStr">
        <is>
          <t>雲林縣舊市區都更規模小，多走危老重建；未見具名大型社區型都更建案，故 builds 留空。</t>
        </is>
      </c>
      <c r="K118" s="5">
        <f>COUNTIFS(建案總表_642案!$C$2:$C$643,$C118)</f>
        <v/>
      </c>
    </row>
    <row r="119">
      <c r="A119" s="5" t="n">
        <v>118</v>
      </c>
      <c r="B119" s="5" t="inlineStr">
        <is>
          <t>嘉義市</t>
        </is>
      </c>
      <c r="C119" s="5" t="inlineStr">
        <is>
          <t>A21012</t>
        </is>
      </c>
      <c r="D119" s="5" t="inlineStr">
        <is>
          <t>chiayi-city</t>
        </is>
      </c>
      <c r="E119" s="5" t="inlineStr">
        <is>
          <t>中部地區</t>
        </is>
      </c>
      <c r="F119" s="5" t="inlineStr">
        <is>
          <t>公辦市地重劃</t>
        </is>
      </c>
      <c r="G119" s="5" t="inlineStr">
        <is>
          <t>public-urban-land-readjustment.html</t>
        </is>
      </c>
      <c r="H119" s="5" t="inlineStr">
        <is>
          <t>市區小型公辦案</t>
        </is>
      </c>
      <c r="I119" s="5" t="inlineStr">
        <is>
          <t>researched</t>
        </is>
      </c>
      <c r="J119" s="5" t="inlineStr">
        <is>
          <t>湖子內為嘉義市近年最主要公辦（區段徵收）重劃區，HouseFeel 專頁列多個建案；此處列西區指標案。</t>
        </is>
      </c>
      <c r="K119" s="5">
        <f>COUNTIFS(建案總表_642案!$C$2:$C$643,$C119)</f>
        <v/>
      </c>
    </row>
    <row r="120">
      <c r="A120" s="5" t="n">
        <v>119</v>
      </c>
      <c r="B120" s="5" t="inlineStr">
        <is>
          <t>嘉義市</t>
        </is>
      </c>
      <c r="C120" s="5" t="inlineStr">
        <is>
          <t>A21012</t>
        </is>
      </c>
      <c r="D120" s="5" t="inlineStr">
        <is>
          <t>chiayi-city</t>
        </is>
      </c>
      <c r="E120" s="5" t="inlineStr">
        <is>
          <t>中部地區</t>
        </is>
      </c>
      <c r="F120" s="5" t="inlineStr">
        <is>
          <t>自辦市地重劃</t>
        </is>
      </c>
      <c r="G120" s="5" t="inlineStr">
        <is>
          <t>private-urban-land-readjustment.html</t>
        </is>
      </c>
      <c r="H120" s="5" t="inlineStr">
        <is>
          <t>市區小型自辦重劃</t>
        </is>
      </c>
      <c r="I120" s="5" t="inlineStr">
        <is>
          <t>researched</t>
        </is>
      </c>
      <c r="J120" s="5" t="inlineStr">
        <is>
          <t>嘉義市劉厝、北社尾、盧厝等早期區段徵收已發展成熟，新建案多散佈市區；以暮禾居等小型華廈案為代表。</t>
        </is>
      </c>
      <c r="K120" s="5">
        <f>COUNTIFS(建案總表_642案!$C$2:$C$643,$C120)</f>
        <v/>
      </c>
    </row>
    <row r="121">
      <c r="A121" s="5" t="n">
        <v>120</v>
      </c>
      <c r="B121" s="5" t="inlineStr">
        <is>
          <t>嘉義市</t>
        </is>
      </c>
      <c r="C121" s="5" t="inlineStr">
        <is>
          <t>A21012</t>
        </is>
      </c>
      <c r="D121" s="5" t="inlineStr">
        <is>
          <t>chiayi-city</t>
        </is>
      </c>
      <c r="E121" s="5" t="inlineStr">
        <is>
          <t>中部地區</t>
        </is>
      </c>
      <c r="F121" s="5" t="inlineStr">
        <is>
          <t>都市更新</t>
        </is>
      </c>
      <c r="G121" s="5" t="inlineStr">
        <is>
          <t>urban-renewal.html</t>
        </is>
      </c>
      <c r="H121" s="5" t="inlineStr">
        <is>
          <t>舊市區都更</t>
        </is>
      </c>
      <c r="I121" s="5" t="inlineStr">
        <is>
          <t>researched</t>
        </is>
      </c>
      <c r="J121" s="5" t="inlineStr">
        <is>
          <t>嘉義市民族國小側公辦都更案預計 2027 年動工、可銷售 234 戶住宅（資料來源：抖音百科引述嘉市新聞）；尚未有建成/銷售建案登錄，故 builds 暫留空，後續可補實際承造建案。</t>
        </is>
      </c>
      <c r="K121" s="5">
        <f>COUNTIFS(建案總表_642案!$C$2:$C$643,$C121)</f>
        <v/>
      </c>
    </row>
    <row r="122">
      <c r="A122" s="5" t="n">
        <v>121</v>
      </c>
      <c r="B122" s="5" t="inlineStr">
        <is>
          <t>嘉義縣</t>
        </is>
      </c>
      <c r="C122" s="5" t="inlineStr">
        <is>
          <t>A21013</t>
        </is>
      </c>
      <c r="D122" s="5" t="inlineStr">
        <is>
          <t>chiayi-county</t>
        </is>
      </c>
      <c r="E122" s="5" t="inlineStr">
        <is>
          <t>中部地區</t>
        </is>
      </c>
      <c r="F122" s="5" t="inlineStr">
        <is>
          <t>公辦市地重劃</t>
        </is>
      </c>
      <c r="G122" s="5" t="inlineStr">
        <is>
          <t>public-urban-land-readjustment.html</t>
        </is>
      </c>
      <c r="H122" s="5" t="inlineStr">
        <is>
          <t>太保公辦重劃</t>
        </is>
      </c>
      <c r="I122" s="5" t="inlineStr">
        <is>
          <t>researched</t>
        </is>
      </c>
      <c r="J122" s="5" t="inlineStr">
        <is>
          <t>太保市為嘉義縣治所在地，公辦重劃（縣治第一/第二開發區、高鐵特定區）；housetube 太保市清單（c444）共17筆新建案，列指標案。</t>
        </is>
      </c>
      <c r="K122" s="5">
        <f>COUNTIFS(建案總表_642案!$C$2:$C$643,$C122)</f>
        <v/>
      </c>
    </row>
    <row r="123">
      <c r="A123" s="5" t="n">
        <v>122</v>
      </c>
      <c r="B123" s="5" t="inlineStr">
        <is>
          <t>嘉義縣</t>
        </is>
      </c>
      <c r="C123" s="5" t="inlineStr">
        <is>
          <t>A21013</t>
        </is>
      </c>
      <c r="D123" s="5" t="inlineStr">
        <is>
          <t>chiayi-county</t>
        </is>
      </c>
      <c r="E123" s="5" t="inlineStr">
        <is>
          <t>中部地區</t>
        </is>
      </c>
      <c r="F123" s="5" t="inlineStr">
        <is>
          <t>公辦市地重劃</t>
        </is>
      </c>
      <c r="G123" s="5" t="inlineStr">
        <is>
          <t>public-urban-land-readjustment.html</t>
        </is>
      </c>
      <c r="H123" s="5" t="inlineStr">
        <is>
          <t>朴子公辦重劃</t>
        </is>
      </c>
      <c r="I123" s="5" t="inlineStr">
        <is>
          <t>no_named_zone</t>
        </is>
      </c>
      <c r="J123" s="5" t="inlineStr">
        <is>
          <t>朴子公辦重劃屬縣治擴大市地重劃（367公頃）一部分，與太保共構；公開市場資料未見朴子鎮單獨命名之新建案專頁，故 builds 暫留空，建案實多與太保縣治重劃重疊，可參照 seq121。</t>
        </is>
      </c>
      <c r="K123" s="5">
        <f>COUNTIFS(建案總表_642案!$C$2:$C$643,$C123)</f>
        <v/>
      </c>
    </row>
    <row r="124">
      <c r="A124" s="5" t="n">
        <v>123</v>
      </c>
      <c r="B124" s="5" t="inlineStr">
        <is>
          <t>嘉義縣</t>
        </is>
      </c>
      <c r="C124" s="5" t="inlineStr">
        <is>
          <t>A21013</t>
        </is>
      </c>
      <c r="D124" s="5" t="inlineStr">
        <is>
          <t>chiayi-county</t>
        </is>
      </c>
      <c r="E124" s="5" t="inlineStr">
        <is>
          <t>中部地區</t>
        </is>
      </c>
      <c r="F124" s="5" t="inlineStr">
        <is>
          <t>自辦市地重劃</t>
        </is>
      </c>
      <c r="G124" s="5" t="inlineStr">
        <is>
          <t>private-urban-land-readjustment.html</t>
        </is>
      </c>
      <c r="H124" s="5" t="inlineStr">
        <is>
          <t>鄉鎮零星自辦案</t>
        </is>
      </c>
      <c r="I124" s="5" t="inlineStr">
        <is>
          <t>no_named_zone</t>
        </is>
      </c>
      <c r="J124" s="5" t="inlineStr">
        <is>
          <t>嘉義縣其他鄉鎮自辦重劃規模零散、市場資料稀少；未見具名重劃區建案專頁，故 builds 留空。</t>
        </is>
      </c>
      <c r="K124" s="5">
        <f>COUNTIFS(建案總表_642案!$C$2:$C$643,$C124)</f>
        <v/>
      </c>
    </row>
    <row r="125">
      <c r="A125" s="5" t="n">
        <v>124</v>
      </c>
      <c r="B125" s="5" t="inlineStr">
        <is>
          <t>嘉義縣</t>
        </is>
      </c>
      <c r="C125" s="5" t="inlineStr">
        <is>
          <t>A21013</t>
        </is>
      </c>
      <c r="D125" s="5" t="inlineStr">
        <is>
          <t>chiayi-county</t>
        </is>
      </c>
      <c r="E125" s="5" t="inlineStr">
        <is>
          <t>中部地區</t>
        </is>
      </c>
      <c r="F125" s="5" t="inlineStr">
        <is>
          <t>都市更新</t>
        </is>
      </c>
      <c r="G125" s="5" t="inlineStr">
        <is>
          <t>urban-renewal.html</t>
        </is>
      </c>
      <c r="H125" s="5" t="inlineStr">
        <is>
          <t>舊市區零星都更</t>
        </is>
      </c>
      <c r="I125" s="5" t="inlineStr">
        <is>
          <t>no_named_zone</t>
        </is>
      </c>
      <c r="J125" s="5" t="inlineStr">
        <is>
          <t>嘉義縣舊市區都更以危老重建為主，未見大型具名都更社區，故 builds 留空。</t>
        </is>
      </c>
      <c r="K125" s="5">
        <f>COUNTIFS(建案總表_642案!$C$2:$C$643,$C125)</f>
        <v/>
      </c>
    </row>
    <row r="126">
      <c r="A126" s="5" t="n">
        <v>125</v>
      </c>
      <c r="B126" s="5" t="inlineStr">
        <is>
          <t>屏東縣</t>
        </is>
      </c>
      <c r="C126" s="5" t="inlineStr">
        <is>
          <t>A21014</t>
        </is>
      </c>
      <c r="D126" s="5" t="inlineStr">
        <is>
          <t>pingtung</t>
        </is>
      </c>
      <c r="E126" s="5" t="inlineStr">
        <is>
          <t>南部地區</t>
        </is>
      </c>
      <c r="F126" s="5" t="inlineStr">
        <is>
          <t>公辦市地重劃</t>
        </is>
      </c>
      <c r="G126" s="5" t="inlineStr">
        <is>
          <t>public-urban-land-readjustment.html</t>
        </is>
      </c>
      <c r="H126" s="5" t="inlineStr">
        <is>
          <t>屏東市公辦重劃</t>
        </is>
      </c>
      <c r="I126" s="5" t="inlineStr">
        <is>
          <t>researched</t>
        </is>
      </c>
      <c r="J126" s="5" t="inlineStr">
        <is>
          <t>屏東市並無單一大型且名稱明確的公辦市地重劃區，主要住宅推案集中於屏東市核心（公園東路、廣東路、公勤二街、和生路等）崇蘭/明正生活圈。本表以樂居「屏東市新建案(大樓)」列表頁 L3 一次性列舉主要指標大樓個案；戶數/坪數/開價皆可在該列表頁逐案核對。建商僅有資料者填寫，其餘留空。</t>
        </is>
      </c>
      <c r="K126" s="5">
        <f>COUNTIFS(建案總表_642案!$C$2:$C$643,$C126)</f>
        <v/>
      </c>
    </row>
    <row r="127">
      <c r="A127" s="5" t="n">
        <v>126</v>
      </c>
      <c r="B127" s="5" t="inlineStr">
        <is>
          <t>屏東縣</t>
        </is>
      </c>
      <c r="C127" s="5" t="inlineStr">
        <is>
          <t>A21014</t>
        </is>
      </c>
      <c r="D127" s="5" t="inlineStr">
        <is>
          <t>pingtung</t>
        </is>
      </c>
      <c r="E127" s="5" t="inlineStr">
        <is>
          <t>南部地區</t>
        </is>
      </c>
      <c r="F127" s="5" t="inlineStr">
        <is>
          <t>自辦市地重劃</t>
        </is>
      </c>
      <c r="G127" s="5" t="inlineStr">
        <is>
          <t>private-urban-land-readjustment.html</t>
        </is>
      </c>
      <c r="H127" s="5" t="inlineStr">
        <is>
          <t>潮州自辦重劃</t>
        </is>
      </c>
      <c r="I127" s="5" t="inlineStr">
        <is>
          <t>researched</t>
        </is>
      </c>
      <c r="J127" s="5" t="inlineStr">
        <is>
          <t>潮州鎮為屏東縣第二大鎮，市區以「潮州新鎮」等自辦/區內重劃與一般住宅區推案為主。本表據高雄房地王「屏東潮州鎮預售屋共12筆」列表頁 L3 列舉可對應之華廈/電梯公寓/大樓店住個案；實登均價為該頁刊載。潮州鎮並無大規模公辦市地重劃區，個案分散於市區，未做逐筆邊界GIS比對。</t>
        </is>
      </c>
      <c r="K127" s="5">
        <f>COUNTIFS(建案總表_642案!$C$2:$C$643,$C127)</f>
        <v/>
      </c>
    </row>
    <row r="128">
      <c r="A128" s="5" t="n">
        <v>127</v>
      </c>
      <c r="B128" s="5" t="inlineStr">
        <is>
          <t>屏東縣</t>
        </is>
      </c>
      <c r="C128" s="5" t="inlineStr">
        <is>
          <t>A21014</t>
        </is>
      </c>
      <c r="D128" s="5" t="inlineStr">
        <is>
          <t>pingtung</t>
        </is>
      </c>
      <c r="E128" s="5" t="inlineStr">
        <is>
          <t>南部地區</t>
        </is>
      </c>
      <c r="F128" s="5" t="inlineStr">
        <is>
          <t>自辦市地重劃</t>
        </is>
      </c>
      <c r="G128" s="5" t="inlineStr">
        <is>
          <t>private-urban-land-readjustment.html</t>
        </is>
      </c>
      <c r="H128" s="5" t="inlineStr">
        <is>
          <t>內埔自辦重劃</t>
        </is>
      </c>
      <c r="I128" s="5" t="inlineStr">
        <is>
          <t>no_named_zone</t>
        </is>
      </c>
      <c r="J128" s="5" t="inlineStr">
        <is>
          <t>以「內埔 市地重劃 建案」檢索，僅查到內埔鄉中正路「義大特區」相關農地/建地仲介物件（yes319），未查得已進入住宅大樓/社區推案階段、可明確歸屬單一自辦重劃區的成案個案；故 builds 留空。</t>
        </is>
      </c>
      <c r="K128" s="5">
        <f>COUNTIFS(建案總表_642案!$C$2:$C$643,$C128)</f>
        <v/>
      </c>
    </row>
    <row r="129">
      <c r="A129" s="5" t="n">
        <v>128</v>
      </c>
      <c r="B129" s="5" t="inlineStr">
        <is>
          <t>屏東縣</t>
        </is>
      </c>
      <c r="C129" s="5" t="inlineStr">
        <is>
          <t>A21014</t>
        </is>
      </c>
      <c r="D129" s="5" t="inlineStr">
        <is>
          <t>pingtung</t>
        </is>
      </c>
      <c r="E129" s="5" t="inlineStr">
        <is>
          <t>南部地區</t>
        </is>
      </c>
      <c r="F129" s="5" t="inlineStr">
        <is>
          <t>自辦市地重劃</t>
        </is>
      </c>
      <c r="G129" s="5" t="inlineStr">
        <is>
          <t>private-urban-land-readjustment.html</t>
        </is>
      </c>
      <c r="H129" s="5" t="inlineStr">
        <is>
          <t>其他鄉鎮自辦案</t>
        </is>
      </c>
      <c r="I129" s="5" t="inlineStr">
        <is>
          <t>no_named_zone</t>
        </is>
      </c>
      <c r="J129" s="5" t="inlineStr">
        <is>
          <t>佔位型分類，彙整屏東縣萬丹、長治、九如、東港、恆春等其餘鄉鎮零星自辦市地重劃案。此類案多為零星透天或農地重劃，未在樂居/591形成可明確對應重劃區名稱的集合住宅個案列表，故 builds 留空。</t>
        </is>
      </c>
      <c r="K129" s="5">
        <f>COUNTIFS(建案總表_642案!$C$2:$C$643,$C129)</f>
        <v/>
      </c>
    </row>
    <row r="130">
      <c r="A130" s="5" t="n">
        <v>129</v>
      </c>
      <c r="B130" s="5" t="inlineStr">
        <is>
          <t>屏東縣</t>
        </is>
      </c>
      <c r="C130" s="5" t="inlineStr">
        <is>
          <t>A21014</t>
        </is>
      </c>
      <c r="D130" s="5" t="inlineStr">
        <is>
          <t>pingtung</t>
        </is>
      </c>
      <c r="E130" s="5" t="inlineStr">
        <is>
          <t>南部地區</t>
        </is>
      </c>
      <c r="F130" s="5" t="inlineStr">
        <is>
          <t>都市更新</t>
        </is>
      </c>
      <c r="G130" s="5" t="inlineStr">
        <is>
          <t>urban-renewal.html</t>
        </is>
      </c>
      <c r="H130" s="5" t="inlineStr">
        <is>
          <t>舊市區零星都更</t>
        </is>
      </c>
      <c r="I130" s="5" t="inlineStr">
        <is>
          <t>no_data</t>
        </is>
      </c>
      <c r="J130" s="5" t="inlineStr">
        <is>
          <t>屏東市舊市區都更目前以「高鐵屏東車站特定區」周邊都市更新案（114年公開展覽細部計畫）為主，尚處計畫階段，無已推案之住宅個案；其餘零星民間都更無公開可查證之成案清單。查證來源：pthsr.com.tw 高鐵屏東車站特定區官網。</t>
        </is>
      </c>
      <c r="K130" s="5">
        <f>COUNTIFS(建案總表_642案!$C$2:$C$643,$C130)</f>
        <v/>
      </c>
    </row>
    <row r="131">
      <c r="A131" s="5" t="n">
        <v>130</v>
      </c>
      <c r="B131" s="5" t="inlineStr">
        <is>
          <t>花蓮縣</t>
        </is>
      </c>
      <c r="C131" s="5" t="inlineStr">
        <is>
          <t>A21016</t>
        </is>
      </c>
      <c r="D131" s="5" t="inlineStr">
        <is>
          <t>hualien</t>
        </is>
      </c>
      <c r="E131" s="5" t="inlineStr">
        <is>
          <t>東部地區</t>
        </is>
      </c>
      <c r="F131" s="5" t="inlineStr">
        <is>
          <t>公辦市地重劃</t>
        </is>
      </c>
      <c r="G131" s="5" t="inlineStr">
        <is>
          <t>public-urban-land-readjustment.html</t>
        </is>
      </c>
      <c r="H131" s="5" t="inlineStr">
        <is>
          <t>縣治小型公辦案</t>
        </is>
      </c>
      <c r="I131" s="5" t="inlineStr">
        <is>
          <t>no_data</t>
        </is>
      </c>
      <c r="J131" s="5" t="inlineStr">
        <is>
          <t>查證花蓮縣地政處及公開來源，花蓮縣治（花蓮市）尚無規模明確、已完成並引進住宅推案的公辦市地重劃區；既成住宅區多屬早期市區發展，無對應公辦重劃抵價地個案。故 builds 留空。</t>
        </is>
      </c>
      <c r="K131" s="5">
        <f>COUNTIFS(建案總表_642案!$C$2:$C$643,$C131)</f>
        <v/>
      </c>
    </row>
    <row r="132">
      <c r="A132" s="5" t="n">
        <v>131</v>
      </c>
      <c r="B132" s="5" t="inlineStr">
        <is>
          <t>花蓮縣</t>
        </is>
      </c>
      <c r="C132" s="5" t="inlineStr">
        <is>
          <t>A21016</t>
        </is>
      </c>
      <c r="D132" s="5" t="inlineStr">
        <is>
          <t>hualien</t>
        </is>
      </c>
      <c r="E132" s="5" t="inlineStr">
        <is>
          <t>東部地區</t>
        </is>
      </c>
      <c r="F132" s="5" t="inlineStr">
        <is>
          <t>自辦市地重劃</t>
        </is>
      </c>
      <c r="G132" s="5" t="inlineStr">
        <is>
          <t>private-urban-land-readjustment.html</t>
        </is>
      </c>
      <c r="H132" s="5" t="inlineStr">
        <is>
          <t>縣治零星小型自辦案</t>
        </is>
      </c>
      <c r="I132" s="5" t="inlineStr">
        <is>
          <t>researched</t>
        </is>
      </c>
      <c r="J132" s="5" t="inlineStr">
        <is>
          <t>花蓮市無大型重劃區，住宅推案以市區零星小型個案為主。日出好學為花蓮市指標15層大樓（67戶住家+1店面，591新建案刊載開價26-29萬/坪）；中原特區位花蓮市中原路，地上9層、住宅14戶+店面4戶（591實價社區頁）。二案皆為花蓮市區市場推案，未逐筆對應特定自辦重劃邊界。</t>
        </is>
      </c>
      <c r="K132" s="5">
        <f>COUNTIFS(建案總表_642案!$C$2:$C$643,$C132)</f>
        <v/>
      </c>
    </row>
    <row r="133">
      <c r="A133" s="5" t="n">
        <v>132</v>
      </c>
      <c r="B133" s="5" t="inlineStr">
        <is>
          <t>花蓮縣</t>
        </is>
      </c>
      <c r="C133" s="5" t="inlineStr">
        <is>
          <t>A21016</t>
        </is>
      </c>
      <c r="D133" s="5" t="inlineStr">
        <is>
          <t>hualien</t>
        </is>
      </c>
      <c r="E133" s="5" t="inlineStr">
        <is>
          <t>東部地區</t>
        </is>
      </c>
      <c r="F133" s="5" t="inlineStr">
        <is>
          <t>區段徵收</t>
        </is>
      </c>
      <c r="G133" s="5" t="inlineStr">
        <is>
          <t>zone-expropriation.html</t>
        </is>
      </c>
      <c r="H133" s="5" t="inlineStr">
        <is>
          <t>花蓮市公共建設區段徵收</t>
        </is>
      </c>
      <c r="I133" s="5" t="inlineStr">
        <is>
          <t>no_data</t>
        </is>
      </c>
      <c r="J133" s="5" t="inlineStr">
        <is>
          <t>花蓮市區段徵收以公共設施/特定區需求為主（如車站、公共設施專案通檢），未查得已釋出住宅區抵價地並由建商進場推案之住宅個案；故 builds 留空。</t>
        </is>
      </c>
      <c r="K133" s="5">
        <f>COUNTIFS(建案總表_642案!$C$2:$C$643,$C133)</f>
        <v/>
      </c>
    </row>
    <row r="134">
      <c r="A134" s="5" t="n">
        <v>133</v>
      </c>
      <c r="B134" s="5" t="inlineStr">
        <is>
          <t>花蓮縣</t>
        </is>
      </c>
      <c r="C134" s="5" t="inlineStr">
        <is>
          <t>A21016</t>
        </is>
      </c>
      <c r="D134" s="5" t="inlineStr">
        <is>
          <t>hualien</t>
        </is>
      </c>
      <c r="E134" s="5" t="inlineStr">
        <is>
          <t>東部地區</t>
        </is>
      </c>
      <c r="F134" s="5" t="inlineStr">
        <is>
          <t>都市更新</t>
        </is>
      </c>
      <c r="G134" s="5" t="inlineStr">
        <is>
          <t>urban-renewal.html</t>
        </is>
      </c>
      <c r="H134" s="5" t="inlineStr">
        <is>
          <t>舊市區零星都更</t>
        </is>
      </c>
      <c r="I134" s="5" t="inlineStr">
        <is>
          <t>no_data</t>
        </is>
      </c>
      <c r="J134" s="5" t="inlineStr">
        <is>
          <t>花蓮市舊市區因2024年地震重建需求，都更以個別建物重建為主，尚無公開可查證、規模明確之都市更新住宅成案清單；故 builds 留空。</t>
        </is>
      </c>
      <c r="K134" s="5">
        <f>COUNTIFS(建案總表_642案!$C$2:$C$643,$C134)</f>
        <v/>
      </c>
    </row>
    <row r="135">
      <c r="A135" s="5" t="n">
        <v>134</v>
      </c>
      <c r="B135" s="5" t="inlineStr">
        <is>
          <t>臺東縣</t>
        </is>
      </c>
      <c r="C135" s="5" t="inlineStr">
        <is>
          <t>A21017</t>
        </is>
      </c>
      <c r="D135" s="5" t="inlineStr">
        <is>
          <t>taitung</t>
        </is>
      </c>
      <c r="E135" s="5" t="inlineStr">
        <is>
          <t>東部地區</t>
        </is>
      </c>
      <c r="F135" s="5" t="inlineStr">
        <is>
          <t>公辦市地重劃</t>
        </is>
      </c>
      <c r="G135" s="5" t="inlineStr">
        <is>
          <t>public-urban-land-readjustment.html</t>
        </is>
      </c>
      <c r="H135" s="5" t="inlineStr">
        <is>
          <t>縣治小型公辦案</t>
        </is>
      </c>
      <c r="I135" s="5" t="inlineStr">
        <is>
          <t>no_data</t>
        </is>
      </c>
      <c r="J135" s="5" t="inlineStr">
        <is>
          <t>查證臺東縣治（臺東市）尚無規模明確、已完成並引進住宅推案之公辦市地重劃區；故 builds 留空。</t>
        </is>
      </c>
      <c r="K135" s="5">
        <f>COUNTIFS(建案總表_642案!$C$2:$C$643,$C135)</f>
        <v/>
      </c>
    </row>
    <row r="136">
      <c r="A136" s="5" t="n">
        <v>135</v>
      </c>
      <c r="B136" s="5" t="inlineStr">
        <is>
          <t>臺東縣</t>
        </is>
      </c>
      <c r="C136" s="5" t="inlineStr">
        <is>
          <t>A21017</t>
        </is>
      </c>
      <c r="D136" s="5" t="inlineStr">
        <is>
          <t>taitung</t>
        </is>
      </c>
      <c r="E136" s="5" t="inlineStr">
        <is>
          <t>東部地區</t>
        </is>
      </c>
      <c r="F136" s="5" t="inlineStr">
        <is>
          <t>自辦市地重劃</t>
        </is>
      </c>
      <c r="G136" s="5" t="inlineStr">
        <is>
          <t>private-urban-land-readjustment.html</t>
        </is>
      </c>
      <c r="H136" s="5" t="inlineStr">
        <is>
          <t>縣治零星小型自辦案</t>
        </is>
      </c>
      <c r="I136" s="5" t="inlineStr">
        <is>
          <t>researched</t>
        </is>
      </c>
      <c r="J136" s="5" t="inlineStr">
        <is>
          <t>臺東市主要新開發區為「清榮段重劃區」（新火車站位置），東森房屋2025/07報導指出該區處開發初期、以透天別墅案為主。德順昌建設「璞苑」即位清榮重劃區（電梯獨棟雙車庫）；泰東e成家2為臺東市區透天別墅成案。戶數/坪數/總價依 Knowhouse 個案頁刊載。</t>
        </is>
      </c>
      <c r="K136" s="5">
        <f>COUNTIFS(建案總表_642案!$C$2:$C$643,$C136)</f>
        <v/>
      </c>
    </row>
    <row r="137">
      <c r="A137" s="5" t="n">
        <v>136</v>
      </c>
      <c r="B137" s="5" t="inlineStr">
        <is>
          <t>臺東縣</t>
        </is>
      </c>
      <c r="C137" s="5" t="inlineStr">
        <is>
          <t>A21017</t>
        </is>
      </c>
      <c r="D137" s="5" t="inlineStr">
        <is>
          <t>taitung</t>
        </is>
      </c>
      <c r="E137" s="5" t="inlineStr">
        <is>
          <t>東部地區</t>
        </is>
      </c>
      <c r="F137" s="5" t="inlineStr">
        <is>
          <t>區段徵收</t>
        </is>
      </c>
      <c r="G137" s="5" t="inlineStr">
        <is>
          <t>zone-expropriation.html</t>
        </is>
      </c>
      <c r="H137" s="5" t="inlineStr">
        <is>
          <t>臺東市區區段徵收</t>
        </is>
      </c>
      <c r="I137" s="5" t="inlineStr">
        <is>
          <t>no_data</t>
        </is>
      </c>
      <c r="J137" s="5" t="inlineStr">
        <is>
          <t>臺東市區並無已完成、釋出住宅區抵價地並由建商進場推案之區段徵收案；主要新開發以清榮段市地重劃（見seq135）為主。故 builds 留空。</t>
        </is>
      </c>
      <c r="K137" s="5">
        <f>COUNTIFS(建案總表_642案!$C$2:$C$643,$C137)</f>
        <v/>
      </c>
    </row>
    <row r="138">
      <c r="A138" s="5" t="n">
        <v>137</v>
      </c>
      <c r="B138" s="5" t="inlineStr">
        <is>
          <t>臺東縣</t>
        </is>
      </c>
      <c r="C138" s="5" t="inlineStr">
        <is>
          <t>A21017</t>
        </is>
      </c>
      <c r="D138" s="5" t="inlineStr">
        <is>
          <t>taitung</t>
        </is>
      </c>
      <c r="E138" s="5" t="inlineStr">
        <is>
          <t>東部地區</t>
        </is>
      </c>
      <c r="F138" s="5" t="inlineStr">
        <is>
          <t>都市更新</t>
        </is>
      </c>
      <c r="G138" s="5" t="inlineStr">
        <is>
          <t>urban-renewal.html</t>
        </is>
      </c>
      <c r="H138" s="5" t="inlineStr">
        <is>
          <t>舊市區零星都更</t>
        </is>
      </c>
      <c r="I138" s="5" t="inlineStr">
        <is>
          <t>no_data</t>
        </is>
      </c>
      <c r="J138" s="5" t="inlineStr">
        <is>
          <t>臺東市舊市區零星都更無公開可查證、規模明確之住宅成案清單；故 builds 留空。</t>
        </is>
      </c>
      <c r="K138" s="5">
        <f>COUNTIFS(建案總表_642案!$C$2:$C$643,$C138)</f>
        <v/>
      </c>
    </row>
    <row r="139">
      <c r="A139" s="5" t="n">
        <v>138</v>
      </c>
      <c r="B139" s="5" t="inlineStr">
        <is>
          <t>澎湖縣</t>
        </is>
      </c>
      <c r="C139" s="5" t="inlineStr">
        <is>
          <t>A21018</t>
        </is>
      </c>
      <c r="D139" s="5" t="inlineStr">
        <is>
          <t>penghu</t>
        </is>
      </c>
      <c r="E139" s="5" t="inlineStr">
        <is>
          <t>離島地區</t>
        </is>
      </c>
      <c r="F139" s="5" t="inlineStr">
        <is>
          <t>公辦市地重劃</t>
        </is>
      </c>
      <c r="G139" s="5" t="inlineStr">
        <is>
          <t>public-urban-land-readjustment.html</t>
        </is>
      </c>
      <c r="H139" s="5" t="inlineStr">
        <is>
          <t>無大型住宅重劃</t>
        </is>
      </c>
      <c r="I139" s="5" t="inlineStr">
        <is>
          <t>no_data</t>
        </is>
      </c>
      <c r="J139" s="5" t="inlineStr">
        <is>
          <t>澎湖縣（馬公市）地狭人稠、建築以透天與小型華廈為主，查證無大型住宅區導向之公辦市地重劃案。市場零星推案如馬公市石泉「泰然頤和」（驛禾建設，58戶華廈大樓）為一般市區建地推案，並非重劃區抵價地個案，不列入本區。</t>
        </is>
      </c>
      <c r="K139" s="5">
        <f>COUNTIFS(建案總表_642案!$C$2:$C$643,$C139)</f>
        <v/>
      </c>
    </row>
    <row r="140">
      <c r="A140" s="5" t="n">
        <v>139</v>
      </c>
      <c r="B140" s="5" t="inlineStr">
        <is>
          <t>澎湖縣</t>
        </is>
      </c>
      <c r="C140" s="5" t="inlineStr">
        <is>
          <t>A21018</t>
        </is>
      </c>
      <c r="D140" s="5" t="inlineStr">
        <is>
          <t>penghu</t>
        </is>
      </c>
      <c r="E140" s="5" t="inlineStr">
        <is>
          <t>離島地區</t>
        </is>
      </c>
      <c r="F140" s="5" t="inlineStr">
        <is>
          <t>自辦市地重劃</t>
        </is>
      </c>
      <c r="G140" s="5" t="inlineStr">
        <is>
          <t>private-urban-land-readjustment.html</t>
        </is>
      </c>
      <c r="H140" s="5" t="inlineStr">
        <is>
          <t>幾乎無</t>
        </is>
      </c>
      <c r="I140" s="5" t="inlineStr">
        <is>
          <t>no_data</t>
        </is>
      </c>
      <c r="J140" s="5" t="inlineStr">
        <is>
          <t>澎湖縣無可查證、具規模之自辦市地重劃住宅區；故 builds 留空。</t>
        </is>
      </c>
      <c r="K140" s="5">
        <f>COUNTIFS(建案總表_642案!$C$2:$C$643,$C140)</f>
        <v/>
      </c>
    </row>
    <row r="141">
      <c r="A141" s="5" t="n">
        <v>140</v>
      </c>
      <c r="B141" s="5" t="inlineStr">
        <is>
          <t>澎湖縣</t>
        </is>
      </c>
      <c r="C141" s="5" t="inlineStr">
        <is>
          <t>A21018</t>
        </is>
      </c>
      <c r="D141" s="5" t="inlineStr">
        <is>
          <t>penghu</t>
        </is>
      </c>
      <c r="E141" s="5" t="inlineStr">
        <is>
          <t>離島地區</t>
        </is>
      </c>
      <c r="F141" s="5" t="inlineStr">
        <is>
          <t>區段徵收</t>
        </is>
      </c>
      <c r="G141" s="5" t="inlineStr">
        <is>
          <t>zone-expropriation.html</t>
        </is>
      </c>
      <c r="H141" s="5" t="inlineStr">
        <is>
          <t>僅公共建設類</t>
        </is>
      </c>
      <c r="I141" s="5" t="inlineStr">
        <is>
          <t>no_data</t>
        </is>
      </c>
      <c r="J141" s="5" t="inlineStr">
        <is>
          <t>澎湖縣區段徵收僅見於機場、港埠等公共建設需求，無住宅區抵價地推案；故 builds 留空。</t>
        </is>
      </c>
      <c r="K141" s="5">
        <f>COUNTIFS(建案總表_642案!$C$2:$C$643,$C141)</f>
        <v/>
      </c>
    </row>
    <row r="142">
      <c r="A142" s="5" t="n">
        <v>141</v>
      </c>
      <c r="B142" s="5" t="inlineStr">
        <is>
          <t>金門縣</t>
        </is>
      </c>
      <c r="C142" s="5" t="inlineStr">
        <is>
          <t>A21019</t>
        </is>
      </c>
      <c r="D142" s="5" t="inlineStr">
        <is>
          <t>kinmen</t>
        </is>
      </c>
      <c r="E142" s="5" t="inlineStr">
        <is>
          <t>離島地區</t>
        </is>
      </c>
      <c r="F142" s="5" t="inlineStr">
        <is>
          <t>公辦市地重劃</t>
        </is>
      </c>
      <c r="G142" s="5" t="inlineStr">
        <is>
          <t>public-urban-land-readjustment.html</t>
        </is>
      </c>
      <c r="H142" s="5" t="inlineStr">
        <is>
          <t>無大型住宅重劃</t>
        </is>
      </c>
      <c r="I142" s="5" t="inlineStr">
        <is>
          <t>no_data</t>
        </is>
      </c>
      <c r="J142" s="5" t="inlineStr">
        <is>
          <t>金門縣查證無大型住宅區導向之公辦市地重劃案。金城鎮雖於2026年推動首件公辦都市更新案（老城再生，規劃地上14層住商混合大樓），惟屬都市更新而非市地重劃，且不在本seq範圍；市場零星推案如金寧鄉「永旭湖鼎苑」（27-29萬/坪，預售電梯公寓）為一般建地推案，不列入重劃區。</t>
        </is>
      </c>
      <c r="K142" s="5">
        <f>COUNTIFS(建案總表_642案!$C$2:$C$643,$C142)</f>
        <v/>
      </c>
    </row>
    <row r="143">
      <c r="A143" s="5" t="n">
        <v>142</v>
      </c>
      <c r="B143" s="5" t="inlineStr">
        <is>
          <t>金門縣</t>
        </is>
      </c>
      <c r="C143" s="5" t="inlineStr">
        <is>
          <t>A21019</t>
        </is>
      </c>
      <c r="D143" s="5" t="inlineStr">
        <is>
          <t>kinmen</t>
        </is>
      </c>
      <c r="E143" s="5" t="inlineStr">
        <is>
          <t>離島地區</t>
        </is>
      </c>
      <c r="F143" s="5" t="inlineStr">
        <is>
          <t>自辦市地重劃</t>
        </is>
      </c>
      <c r="G143" s="5" t="inlineStr">
        <is>
          <t>private-urban-land-readjustment.html</t>
        </is>
      </c>
      <c r="H143" s="5" t="inlineStr">
        <is>
          <t>幾乎無</t>
        </is>
      </c>
      <c r="I143" s="5" t="inlineStr">
        <is>
          <t>no_data</t>
        </is>
      </c>
      <c r="J143" s="5" t="inlineStr">
        <is>
          <t>金門縣無可查證、具規模之自辦市地重劃住宅區；故 builds 留空。</t>
        </is>
      </c>
      <c r="K143" s="5">
        <f>COUNTIFS(建案總表_642案!$C$2:$C$643,$C143)</f>
        <v/>
      </c>
    </row>
    <row r="144">
      <c r="A144" s="5" t="n">
        <v>143</v>
      </c>
      <c r="B144" s="5" t="inlineStr">
        <is>
          <t>金門縣</t>
        </is>
      </c>
      <c r="C144" s="5" t="inlineStr">
        <is>
          <t>A21019</t>
        </is>
      </c>
      <c r="D144" s="5" t="inlineStr">
        <is>
          <t>kinmen</t>
        </is>
      </c>
      <c r="E144" s="5" t="inlineStr">
        <is>
          <t>離島地區</t>
        </is>
      </c>
      <c r="F144" s="5" t="inlineStr">
        <is>
          <t>區段徵收</t>
        </is>
      </c>
      <c r="G144" s="5" t="inlineStr">
        <is>
          <t>zone-expropriation.html</t>
        </is>
      </c>
      <c r="H144" s="5" t="inlineStr">
        <is>
          <t>僅公共建設類</t>
        </is>
      </c>
      <c r="I144" s="5" t="inlineStr">
        <is>
          <t>no_data</t>
        </is>
      </c>
      <c r="J144" s="5" t="inlineStr">
        <is>
          <t>金門縣區段徵收僅見於公共建設/特定軍民用地，無住宅區抵價地推案；故 builds 留空。</t>
        </is>
      </c>
      <c r="K144" s="5">
        <f>COUNTIFS(建案總表_642案!$C$2:$C$643,$C144)</f>
        <v/>
      </c>
    </row>
    <row r="145">
      <c r="A145" s="5" t="n">
        <v>144</v>
      </c>
      <c r="B145" s="5" t="inlineStr">
        <is>
          <t>連江縣</t>
        </is>
      </c>
      <c r="C145" s="5" t="inlineStr">
        <is>
          <t>A21020</t>
        </is>
      </c>
      <c r="D145" s="5" t="inlineStr">
        <is>
          <t>lienchiang</t>
        </is>
      </c>
      <c r="E145" s="5" t="inlineStr">
        <is>
          <t>離島地區</t>
        </is>
      </c>
      <c r="F145" s="5" t="inlineStr">
        <is>
          <t>公辦市地重劃</t>
        </is>
      </c>
      <c r="G145" s="5" t="inlineStr">
        <is>
          <t>public-urban-land-readjustment.html</t>
        </is>
      </c>
      <c r="H145" s="5" t="inlineStr">
        <is>
          <t>無大型住宅重劃</t>
        </is>
      </c>
      <c r="I145" s="5" t="inlineStr">
        <is>
          <t>no_data</t>
        </is>
      </c>
      <c r="J145" s="5" t="inlineStr">
        <is>
          <t>連江縣（馬祖）以軍政、觀光及低度開發為主，查證無大型住宅區導向之公辦市地重劃案；無大樓集合住宅推案市場。故 builds 留空。</t>
        </is>
      </c>
      <c r="K145" s="5">
        <f>COUNTIFS(建案總表_642案!$C$2:$C$643,$C145)</f>
        <v/>
      </c>
    </row>
    <row r="146">
      <c r="A146" s="5" t="n">
        <v>145</v>
      </c>
      <c r="B146" s="5" t="inlineStr">
        <is>
          <t>連江縣</t>
        </is>
      </c>
      <c r="C146" s="5" t="inlineStr">
        <is>
          <t>A21020</t>
        </is>
      </c>
      <c r="D146" s="5" t="inlineStr">
        <is>
          <t>lienchiang</t>
        </is>
      </c>
      <c r="E146" s="5" t="inlineStr">
        <is>
          <t>離島地區</t>
        </is>
      </c>
      <c r="F146" s="5" t="inlineStr">
        <is>
          <t>自辦市地重劃</t>
        </is>
      </c>
      <c r="G146" s="5" t="inlineStr">
        <is>
          <t>private-urban-land-readjustment.html</t>
        </is>
      </c>
      <c r="H146" s="5" t="inlineStr">
        <is>
          <t>幾乎無</t>
        </is>
      </c>
      <c r="I146" s="5" t="inlineStr">
        <is>
          <t>no_data</t>
        </is>
      </c>
      <c r="J146" s="5" t="inlineStr">
        <is>
          <t>連江縣無可查證、具規模之自辦市地重劃住宅區；故 builds 留空。</t>
        </is>
      </c>
      <c r="K146" s="5">
        <f>COUNTIFS(建案總表_642案!$C$2:$C$643,$C146)</f>
        <v/>
      </c>
    </row>
    <row r="147">
      <c r="A147" s="5" t="n">
        <v>146</v>
      </c>
      <c r="B147" s="5" t="inlineStr">
        <is>
          <t>連江縣</t>
        </is>
      </c>
      <c r="C147" s="5" t="inlineStr">
        <is>
          <t>A21020</t>
        </is>
      </c>
      <c r="D147" s="5" t="inlineStr">
        <is>
          <t>lienchiang</t>
        </is>
      </c>
      <c r="E147" s="5" t="inlineStr">
        <is>
          <t>離島地區</t>
        </is>
      </c>
      <c r="F147" s="5" t="inlineStr">
        <is>
          <t>區段徵收</t>
        </is>
      </c>
      <c r="G147" s="5" t="inlineStr">
        <is>
          <t>zone-expropriation.html</t>
        </is>
      </c>
      <c r="H147" s="5" t="inlineStr">
        <is>
          <t>僅公共建設類</t>
        </is>
      </c>
      <c r="I147" s="5" t="inlineStr">
        <is>
          <t>no_data</t>
        </is>
      </c>
      <c r="J147" s="5" t="inlineStr">
        <is>
          <t>連江縣無住宅區導向之區段徵收案；建設以港灣、軍事、公共設施為主。故 builds 留空。</t>
        </is>
      </c>
      <c r="K147" s="5">
        <f>COUNTIFS(建案總表_642案!$C$2:$C$643,$C147)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7" customWidth="1" min="4" max="4"/>
    <col width="27" customWidth="1" min="5" max="5"/>
    <col width="15" customWidth="1" min="6" max="6"/>
    <col width="38" customWidth="1" min="7" max="7"/>
    <col width="32" customWidth="1" min="8" max="8"/>
    <col width="15" customWidth="1" min="9" max="9"/>
    <col width="44" customWidth="1" min="10" max="10"/>
    <col width="19" customWidth="1" min="11" max="11"/>
    <col width="8" customWidth="1" min="12" max="12"/>
    <col width="18" customWidth="1" min="13" max="13"/>
    <col width="11" customWidth="1" min="14" max="14"/>
    <col width="45" customWidth="1" min="15" max="15"/>
  </cols>
  <sheetData>
    <row r="1">
      <c r="A1" s="1" t="inlineStr">
        <is>
          <t>seq</t>
        </is>
      </c>
      <c r="B1" s="1" t="inlineStr">
        <is>
          <t>縣市</t>
        </is>
      </c>
      <c r="C1" s="1" t="inlineStr">
        <is>
          <t>code</t>
        </is>
      </c>
      <c r="D1" s="1" t="inlineStr">
        <is>
          <t>slug</t>
        </is>
      </c>
      <c r="E1" s="1" t="inlineStr">
        <is>
          <t>zone</t>
        </is>
      </c>
      <c r="F1" s="1" t="inlineStr">
        <is>
          <t>type</t>
        </is>
      </c>
      <c r="G1" s="1" t="inlineStr">
        <is>
          <t>建案名稱</t>
        </is>
      </c>
      <c r="H1" s="1" t="inlineStr">
        <is>
          <t>建商</t>
        </is>
      </c>
      <c r="I1" s="1" t="inlineStr">
        <is>
          <t>戶數</t>
        </is>
      </c>
      <c r="J1" s="1" t="inlineStr">
        <is>
          <t>坪數區間</t>
        </is>
      </c>
      <c r="K1" s="1" t="inlineStr">
        <is>
          <t>單價區間</t>
        </is>
      </c>
      <c r="L1" s="1" t="inlineStr">
        <is>
          <t>年份</t>
        </is>
      </c>
      <c r="M1" s="1" t="inlineStr">
        <is>
          <t>狀態</t>
        </is>
      </c>
      <c r="N1" s="1" t="inlineStr">
        <is>
          <t>來源等級</t>
        </is>
      </c>
      <c r="O1" s="1" t="inlineStr">
        <is>
          <t>來源網址</t>
        </is>
      </c>
    </row>
    <row r="2">
      <c r="A2" s="5" t="n">
        <v>1</v>
      </c>
      <c r="B2" s="5" t="inlineStr">
        <is>
          <t>臺北市</t>
        </is>
      </c>
      <c r="C2" s="5" t="inlineStr">
        <is>
          <t>A21001</t>
        </is>
      </c>
      <c r="D2" s="5" t="inlineStr">
        <is>
          <t>taipei</t>
        </is>
      </c>
      <c r="E2" s="5" t="inlineStr">
        <is>
          <t>南港公辦重劃</t>
        </is>
      </c>
      <c r="F2" s="5" t="inlineStr">
        <is>
          <t>公辦市地重劃</t>
        </is>
      </c>
      <c r="G2" s="5" t="inlineStr">
        <is>
          <t>衡岄</t>
        </is>
      </c>
      <c r="H2" s="5" t="inlineStr">
        <is>
          <t>大陸建設</t>
        </is>
      </c>
      <c r="I2" s="5" t="inlineStr"/>
      <c r="J2" s="5" t="inlineStr">
        <is>
          <t>25-42坪</t>
        </is>
      </c>
      <c r="K2" s="5" t="inlineStr">
        <is>
          <t>150-165萬/坪</t>
        </is>
      </c>
      <c r="L2" s="5" t="inlineStr">
        <is>
          <t>2025</t>
        </is>
      </c>
      <c r="M2" s="5" t="inlineStr">
        <is>
          <t>預售</t>
        </is>
      </c>
      <c r="N2" s="5" t="inlineStr">
        <is>
          <t>L3</t>
        </is>
      </c>
      <c r="O2" s="5" t="inlineStr">
        <is>
          <t>https://www.leju.com.tw/community/Lfbd151940d8acd；https://www.continental-propertydevelopment.com/zh/portfolio/residential/GARDEN-OF-HAPPINESS/</t>
        </is>
      </c>
    </row>
    <row r="3">
      <c r="A3" s="5" t="n">
        <v>2</v>
      </c>
      <c r="B3" s="5" t="inlineStr">
        <is>
          <t>臺北市</t>
        </is>
      </c>
      <c r="C3" s="5" t="inlineStr">
        <is>
          <t>A21001</t>
        </is>
      </c>
      <c r="D3" s="5" t="inlineStr">
        <is>
          <t>taipei</t>
        </is>
      </c>
      <c r="E3" s="5" t="inlineStr">
        <is>
          <t>南港公辦重劃</t>
        </is>
      </c>
      <c r="F3" s="5" t="inlineStr">
        <is>
          <t>公辦市地重劃</t>
        </is>
      </c>
      <c r="G3" s="5" t="inlineStr">
        <is>
          <t>遠雄宜進I-CITY</t>
        </is>
      </c>
      <c r="H3" s="5" t="inlineStr">
        <is>
          <t>遠雄建設</t>
        </is>
      </c>
      <c r="I3" s="5" t="inlineStr">
        <is>
          <t>98戶</t>
        </is>
      </c>
      <c r="J3" s="5" t="inlineStr">
        <is>
          <t>90-125坪</t>
        </is>
      </c>
      <c r="K3" s="5" t="inlineStr">
        <is>
          <t>約72.7萬/坪</t>
        </is>
      </c>
      <c r="L3" s="5" t="inlineStr"/>
      <c r="M3" s="5" t="inlineStr">
        <is>
          <t>已完工</t>
        </is>
      </c>
      <c r="N3" s="5" t="inlineStr">
        <is>
          <t>L3</t>
        </is>
      </c>
      <c r="O3" s="5" t="inlineStr">
        <is>
          <t>https://community.houseprice.tw/building/172037/</t>
        </is>
      </c>
    </row>
    <row r="4">
      <c r="A4" s="5" t="n">
        <v>3</v>
      </c>
      <c r="B4" s="5" t="inlineStr">
        <is>
          <t>臺北市</t>
        </is>
      </c>
      <c r="C4" s="5" t="inlineStr">
        <is>
          <t>A21001</t>
        </is>
      </c>
      <c r="D4" s="5" t="inlineStr">
        <is>
          <t>taipei</t>
        </is>
      </c>
      <c r="E4" s="5" t="inlineStr">
        <is>
          <t>南港公辦重劃</t>
        </is>
      </c>
      <c r="F4" s="5" t="inlineStr">
        <is>
          <t>公辦市地重劃</t>
        </is>
      </c>
      <c r="G4" s="5" t="inlineStr">
        <is>
          <t>東方大境</t>
        </is>
      </c>
      <c r="H4" s="5" t="inlineStr">
        <is>
          <t>國賓大建設/雄域建設</t>
        </is>
      </c>
      <c r="I4" s="5" t="inlineStr"/>
      <c r="J4" s="5" t="inlineStr">
        <is>
          <t>18-38坪</t>
        </is>
      </c>
      <c r="K4" s="5" t="inlineStr"/>
      <c r="L4" s="5" t="inlineStr">
        <is>
          <t>2025</t>
        </is>
      </c>
      <c r="M4" s="5" t="inlineStr">
        <is>
          <t>預售</t>
        </is>
      </c>
      <c r="N4" s="5" t="inlineStr">
        <is>
          <t>L3</t>
        </is>
      </c>
      <c r="O4" s="5" t="inlineStr">
        <is>
          <t>https://www.plex.com.tw/projects/view/id/6804/page/2</t>
        </is>
      </c>
    </row>
    <row r="5">
      <c r="A5" s="5" t="n">
        <v>4</v>
      </c>
      <c r="B5" s="5" t="inlineStr">
        <is>
          <t>臺北市</t>
        </is>
      </c>
      <c r="C5" s="5" t="inlineStr">
        <is>
          <t>A21001</t>
        </is>
      </c>
      <c r="D5" s="5" t="inlineStr">
        <is>
          <t>taipei</t>
        </is>
      </c>
      <c r="E5" s="5" t="inlineStr">
        <is>
          <t>內湖小型公辦重劃</t>
        </is>
      </c>
      <c r="F5" s="5" t="inlineStr">
        <is>
          <t>公辦市地重劃</t>
        </is>
      </c>
      <c r="G5" s="5" t="inlineStr">
        <is>
          <t>大氣天成</t>
        </is>
      </c>
      <c r="H5" s="5" t="inlineStr"/>
      <c r="I5" s="5" t="inlineStr">
        <is>
          <t>21戶</t>
        </is>
      </c>
      <c r="J5" s="5" t="inlineStr"/>
      <c r="K5" s="5" t="inlineStr">
        <is>
          <t>約69.6萬/坪</t>
        </is>
      </c>
      <c r="L5" s="5" t="inlineStr"/>
      <c r="M5" s="5" t="inlineStr">
        <is>
          <t>已完工</t>
        </is>
      </c>
      <c r="N5" s="5" t="inlineStr">
        <is>
          <t>L3</t>
        </is>
      </c>
      <c r="O5" s="5" t="inlineStr">
        <is>
          <t>https://market.591.com.tw/5531?room=4</t>
        </is>
      </c>
    </row>
    <row r="6">
      <c r="A6" s="5" t="n">
        <v>5</v>
      </c>
      <c r="B6" s="5" t="inlineStr">
        <is>
          <t>臺北市</t>
        </is>
      </c>
      <c r="C6" s="5" t="inlineStr">
        <is>
          <t>A21001</t>
        </is>
      </c>
      <c r="D6" s="5" t="inlineStr">
        <is>
          <t>taipei</t>
        </is>
      </c>
      <c r="E6" s="5" t="inlineStr">
        <is>
          <t>內湖小型公辦重劃</t>
        </is>
      </c>
      <c r="F6" s="5" t="inlineStr">
        <is>
          <t>公辦市地重劃</t>
        </is>
      </c>
      <c r="G6" s="5" t="inlineStr">
        <is>
          <t>富邦大衛營領袖區</t>
        </is>
      </c>
      <c r="H6" s="5" t="inlineStr">
        <is>
          <t>富邦建設</t>
        </is>
      </c>
      <c r="I6" s="5" t="inlineStr"/>
      <c r="J6" s="5" t="inlineStr"/>
      <c r="K6" s="5" t="inlineStr"/>
      <c r="L6" s="5" t="inlineStr">
        <is>
          <t>2008</t>
        </is>
      </c>
      <c r="M6" s="5" t="inlineStr">
        <is>
          <t>已完工</t>
        </is>
      </c>
      <c r="N6" s="5" t="inlineStr">
        <is>
          <t>L3</t>
        </is>
      </c>
      <c r="O6" s="5" t="inlineStr">
        <is>
          <t>https://www.plex.com.tw/projects/view/id/6038</t>
        </is>
      </c>
    </row>
    <row r="7">
      <c r="A7" s="5" t="n">
        <v>6</v>
      </c>
      <c r="B7" s="5" t="inlineStr">
        <is>
          <t>臺北市</t>
        </is>
      </c>
      <c r="C7" s="5" t="inlineStr">
        <is>
          <t>A21001</t>
        </is>
      </c>
      <c r="D7" s="5" t="inlineStr">
        <is>
          <t>taipei</t>
        </is>
      </c>
      <c r="E7" s="5" t="inlineStr">
        <is>
          <t>內湖小型公辦重劃</t>
        </is>
      </c>
      <c r="F7" s="5" t="inlineStr">
        <is>
          <t>公辦市地重劃</t>
        </is>
      </c>
      <c r="G7" s="5" t="inlineStr">
        <is>
          <t>麗景</t>
        </is>
      </c>
      <c r="H7" s="5" t="inlineStr"/>
      <c r="I7" s="5" t="inlineStr"/>
      <c r="J7" s="5" t="inlineStr">
        <is>
          <t>約30坪</t>
        </is>
      </c>
      <c r="K7" s="5" t="inlineStr"/>
      <c r="L7" s="5" t="inlineStr"/>
      <c r="M7" s="5" t="inlineStr">
        <is>
          <t>已完工</t>
        </is>
      </c>
      <c r="N7" s="5" t="inlineStr">
        <is>
          <t>L3</t>
        </is>
      </c>
      <c r="O7" s="5" t="inlineStr">
        <is>
          <t>https://community.yungching.com.tw/building/7906/sale-around</t>
        </is>
      </c>
    </row>
    <row r="8">
      <c r="A8" s="5" t="n">
        <v>7</v>
      </c>
      <c r="B8" s="5" t="inlineStr">
        <is>
          <t>臺北市</t>
        </is>
      </c>
      <c r="C8" s="5" t="inlineStr">
        <is>
          <t>A21001</t>
        </is>
      </c>
      <c r="D8" s="5" t="inlineStr">
        <is>
          <t>taipei</t>
        </is>
      </c>
      <c r="E8" s="5" t="inlineStr">
        <is>
          <t>西門公辦都更</t>
        </is>
      </c>
      <c r="F8" s="5" t="inlineStr">
        <is>
          <t>都市更新</t>
        </is>
      </c>
      <c r="G8" s="5" t="inlineStr">
        <is>
          <t>中華大樓都更案（西門電影街）</t>
        </is>
      </c>
      <c r="H8" s="5" t="inlineStr">
        <is>
          <t>國泰建經</t>
        </is>
      </c>
      <c r="I8" s="5" t="inlineStr"/>
      <c r="J8" s="5" t="inlineStr"/>
      <c r="K8" s="5" t="inlineStr"/>
      <c r="L8" s="5" t="inlineStr"/>
      <c r="M8" s="5" t="inlineStr">
        <is>
          <t>規劃中</t>
        </is>
      </c>
      <c r="N8" s="5" t="inlineStr">
        <is>
          <t>L3</t>
        </is>
      </c>
      <c r="O8" s="5" t="inlineStr">
        <is>
          <t>https://www.ur.org.tw/mynews/view/55</t>
        </is>
      </c>
    </row>
    <row r="9">
      <c r="A9" s="5" t="n">
        <v>8</v>
      </c>
      <c r="B9" s="5" t="inlineStr">
        <is>
          <t>臺北市</t>
        </is>
      </c>
      <c r="C9" s="5" t="inlineStr">
        <is>
          <t>A21001</t>
        </is>
      </c>
      <c r="D9" s="5" t="inlineStr">
        <is>
          <t>taipei</t>
        </is>
      </c>
      <c r="E9" s="5" t="inlineStr">
        <is>
          <t>西門公辦都更</t>
        </is>
      </c>
      <c r="F9" s="5" t="inlineStr">
        <is>
          <t>都市更新</t>
        </is>
      </c>
      <c r="G9" s="5" t="inlineStr">
        <is>
          <t>福星段二小段576地號都更案（漢口街）</t>
        </is>
      </c>
      <c r="H9" s="5" t="inlineStr">
        <is>
          <t>興洋建設</t>
        </is>
      </c>
      <c r="I9" s="5" t="inlineStr"/>
      <c r="J9" s="5" t="inlineStr"/>
      <c r="K9" s="5" t="inlineStr"/>
      <c r="L9" s="5" t="inlineStr"/>
      <c r="M9" s="5" t="inlineStr">
        <is>
          <t>已完銷/完工</t>
        </is>
      </c>
      <c r="N9" s="5" t="inlineStr">
        <is>
          <t>L3</t>
        </is>
      </c>
      <c r="O9" s="5" t="inlineStr">
        <is>
          <t>https://www.ur.org.tw/mynews/view/55</t>
        </is>
      </c>
    </row>
    <row r="10">
      <c r="A10" s="5" t="n">
        <v>9</v>
      </c>
      <c r="B10" s="5" t="inlineStr">
        <is>
          <t>臺北市</t>
        </is>
      </c>
      <c r="C10" s="5" t="inlineStr">
        <is>
          <t>A21001</t>
        </is>
      </c>
      <c r="D10" s="5" t="inlineStr">
        <is>
          <t>taipei</t>
        </is>
      </c>
      <c r="E10" s="5" t="inlineStr">
        <is>
          <t>南港公辦都更</t>
        </is>
      </c>
      <c r="F10" s="5" t="inlineStr">
        <is>
          <t>都市更新</t>
        </is>
      </c>
      <c r="G10" s="5" t="inlineStr">
        <is>
          <t>南港調車場公辦都更案（東街廓）</t>
        </is>
      </c>
      <c r="H10" s="5" t="inlineStr">
        <is>
          <t>南港國際一/二股份有限公司</t>
        </is>
      </c>
      <c r="I10" s="5" t="inlineStr"/>
      <c r="J10" s="5" t="inlineStr"/>
      <c r="K10" s="5" t="inlineStr"/>
      <c r="L10" s="5" t="inlineStr"/>
      <c r="M10" s="5" t="inlineStr">
        <is>
          <t>興建中</t>
        </is>
      </c>
      <c r="N10" s="5" t="inlineStr">
        <is>
          <t>L3</t>
        </is>
      </c>
      <c r="O10" s="5" t="inlineStr">
        <is>
          <t>https://www.ur.org.tw/plan/career_view/83；https://www.housefeel.com.tw/article/%E5%8D%97%E6%B8%AF%E9%83%BD%E6%9B%B4-%E5%8D%97%E6%B8%AF%E8%AA%BF%E8%BB%8A%E5%A0%B4-%E5%8D%97%E6%B8%AF%E8%AA%BF%E8%BB%8A%E5%A0%B4%E9%83%BD%E6%9B%B4/</t>
        </is>
      </c>
    </row>
    <row r="11">
      <c r="A11" s="5" t="n">
        <v>10</v>
      </c>
      <c r="B11" s="5" t="inlineStr">
        <is>
          <t>臺北市</t>
        </is>
      </c>
      <c r="C11" s="5" t="inlineStr">
        <is>
          <t>A21001</t>
        </is>
      </c>
      <c r="D11" s="5" t="inlineStr">
        <is>
          <t>taipei</t>
        </is>
      </c>
      <c r="E11" s="5" t="inlineStr">
        <is>
          <t>南港公辦都更</t>
        </is>
      </c>
      <c r="F11" s="5" t="inlineStr">
        <is>
          <t>都市更新</t>
        </is>
      </c>
      <c r="G11" s="5" t="inlineStr">
        <is>
          <t>南港機廠社會住宅</t>
        </is>
      </c>
      <c r="H11" s="5" t="inlineStr">
        <is>
          <t>臺北市政府（大陸工程興建）</t>
        </is>
      </c>
      <c r="I11" s="5" t="inlineStr">
        <is>
          <t>1442戶</t>
        </is>
      </c>
      <c r="J11" s="5" t="inlineStr"/>
      <c r="K11" s="5" t="inlineStr"/>
      <c r="L11" s="5" t="inlineStr">
        <is>
          <t>2024</t>
        </is>
      </c>
      <c r="M11" s="5" t="inlineStr">
        <is>
          <t>已完工</t>
        </is>
      </c>
      <c r="N11" s="5" t="inlineStr">
        <is>
          <t>L1</t>
        </is>
      </c>
      <c r="O11" s="5" t="inlineStr">
        <is>
          <t>https://rent.thurc.org.taipei/Rental/Site/nangangdepot1；https://www.continental-engineering.com/zh/featured-projects/nangang-depot-public-housing/</t>
        </is>
      </c>
    </row>
    <row r="12">
      <c r="A12" s="5" t="n">
        <v>11</v>
      </c>
      <c r="B12" s="5" t="inlineStr">
        <is>
          <t>臺北市</t>
        </is>
      </c>
      <c r="C12" s="5" t="inlineStr">
        <is>
          <t>A21001</t>
        </is>
      </c>
      <c r="D12" s="5" t="inlineStr">
        <is>
          <t>taipei</t>
        </is>
      </c>
      <c r="E12" s="5" t="inlineStr">
        <is>
          <t>南港公辦都更</t>
        </is>
      </c>
      <c r="F12" s="5" t="inlineStr">
        <is>
          <t>都市更新</t>
        </is>
      </c>
      <c r="G12" s="5" t="inlineStr">
        <is>
          <t>玉成段一小段430地號公辦都更案</t>
        </is>
      </c>
      <c r="H12" s="5" t="inlineStr">
        <is>
          <t>國泰建設/三重置業地產（三井）</t>
        </is>
      </c>
      <c r="I12" s="5" t="inlineStr">
        <is>
          <t>130戶（原）</t>
        </is>
      </c>
      <c r="J12" s="5" t="inlineStr"/>
      <c r="K12" s="5" t="inlineStr"/>
      <c r="L12" s="5" t="inlineStr">
        <is>
          <t>2026</t>
        </is>
      </c>
      <c r="M12" s="5" t="inlineStr">
        <is>
          <t>招商成功/規劃中</t>
        </is>
      </c>
      <c r="N12" s="5" t="inlineStr">
        <is>
          <t>L3</t>
        </is>
      </c>
      <c r="O12" s="5" t="inlineStr">
        <is>
          <t>https://94m.com.tw/articles/c2ac38</t>
        </is>
      </c>
    </row>
    <row r="13">
      <c r="A13" s="5" t="n">
        <v>12</v>
      </c>
      <c r="B13" s="5" t="inlineStr">
        <is>
          <t>臺北市</t>
        </is>
      </c>
      <c r="C13" s="5" t="inlineStr">
        <is>
          <t>A21001</t>
        </is>
      </c>
      <c r="D13" s="5" t="inlineStr">
        <is>
          <t>taipei</t>
        </is>
      </c>
      <c r="E13" s="5" t="inlineStr">
        <is>
          <t>南港公辦都更</t>
        </is>
      </c>
      <c r="F13" s="5" t="inlineStr">
        <is>
          <t>都市更新</t>
        </is>
      </c>
      <c r="G13" s="5" t="inlineStr">
        <is>
          <t>台電CR-1都更案</t>
        </is>
      </c>
      <c r="H13" s="5" t="inlineStr">
        <is>
          <t>台電</t>
        </is>
      </c>
      <c r="I13" s="5" t="inlineStr"/>
      <c r="J13" s="5" t="inlineStr"/>
      <c r="K13" s="5" t="inlineStr"/>
      <c r="L13" s="5" t="inlineStr"/>
      <c r="M13" s="5" t="inlineStr">
        <is>
          <t>規劃中</t>
        </is>
      </c>
      <c r="N13" s="5" t="inlineStr">
        <is>
          <t>L3</t>
        </is>
      </c>
      <c r="O13" s="5" t="inlineStr">
        <is>
          <t>https://www.housefeel.com.tw/article/%E5%8D%97%E6%B8%AF%E9%83%BD%E6%9B%B4-%E5%8F%B0%E9%9B%BBcr1-%E5%8F%B0%E7%81%A3%E9%9B%BB%E5%8A%9B%E5%85%AC%E5%8F%B8/</t>
        </is>
      </c>
    </row>
    <row r="14">
      <c r="A14" s="5" t="n">
        <v>13</v>
      </c>
      <c r="B14" s="5" t="inlineStr">
        <is>
          <t>臺北市</t>
        </is>
      </c>
      <c r="C14" s="5" t="inlineStr">
        <is>
          <t>A21001</t>
        </is>
      </c>
      <c r="D14" s="5" t="inlineStr">
        <is>
          <t>taipei</t>
        </is>
      </c>
      <c r="E14" s="5" t="inlineStr">
        <is>
          <t>萬華公辦都更</t>
        </is>
      </c>
      <c r="F14" s="5" t="inlineStr">
        <is>
          <t>都市更新</t>
        </is>
      </c>
      <c r="G14" s="5" t="inlineStr">
        <is>
          <t>萬華安居社會住宅</t>
        </is>
      </c>
      <c r="H14" s="5" t="inlineStr">
        <is>
          <t>國家住宅及都市更新中心</t>
        </is>
      </c>
      <c r="I14" s="5" t="inlineStr">
        <is>
          <t>300戶</t>
        </is>
      </c>
      <c r="J14" s="5" t="inlineStr">
        <is>
          <t>13.8-39.03坪</t>
        </is>
      </c>
      <c r="K14" s="5" t="inlineStr"/>
      <c r="L14" s="5" t="inlineStr">
        <is>
          <t>2025</t>
        </is>
      </c>
      <c r="M14" s="5" t="inlineStr">
        <is>
          <t>已完工</t>
        </is>
      </c>
      <c r="N14" s="5" t="inlineStr">
        <is>
          <t>L1</t>
        </is>
      </c>
      <c r="O14" s="5" t="inlineStr">
        <is>
          <t>https://www.socialhousing.tw/portal/FindGoodHouseBuilding；https://www.moi.gov.tw/News_Content.aspx?n=10&amp;s=328553</t>
        </is>
      </c>
    </row>
    <row r="15">
      <c r="A15" s="5" t="n">
        <v>14</v>
      </c>
      <c r="B15" s="5" t="inlineStr">
        <is>
          <t>新北市</t>
        </is>
      </c>
      <c r="C15" s="5" t="inlineStr">
        <is>
          <t>A21002</t>
        </is>
      </c>
      <c r="D15" s="5" t="inlineStr">
        <is>
          <t>new-taipei</t>
        </is>
      </c>
      <c r="E15" s="5" t="inlineStr">
        <is>
          <t>塭仔圳重劃</t>
        </is>
      </c>
      <c r="F15" s="5" t="inlineStr">
        <is>
          <t>公辦市地重劃</t>
        </is>
      </c>
      <c r="G15" s="5" t="inlineStr">
        <is>
          <t>百達莊園</t>
        </is>
      </c>
      <c r="H15" s="5" t="inlineStr">
        <is>
          <t>偉築建設</t>
        </is>
      </c>
      <c r="I15" s="5" t="inlineStr">
        <is>
          <t>328戶</t>
        </is>
      </c>
      <c r="J15" s="5" t="inlineStr">
        <is>
          <t>27-47坪</t>
        </is>
      </c>
      <c r="K15" s="5" t="inlineStr">
        <is>
          <t>63-66萬/坪</t>
        </is>
      </c>
      <c r="L15" s="5" t="inlineStr">
        <is>
          <t>2027</t>
        </is>
      </c>
      <c r="M15" s="5" t="inlineStr">
        <is>
          <t>預售</t>
        </is>
      </c>
      <c r="N15" s="5" t="inlineStr">
        <is>
          <t>L3</t>
        </is>
      </c>
      <c r="O15" s="5" t="inlineStr">
        <is>
          <t>https://newhouse.591.com.tw/140169</t>
        </is>
      </c>
    </row>
    <row r="16">
      <c r="A16" s="5" t="n">
        <v>15</v>
      </c>
      <c r="B16" s="5" t="inlineStr">
        <is>
          <t>新北市</t>
        </is>
      </c>
      <c r="C16" s="5" t="inlineStr">
        <is>
          <t>A21002</t>
        </is>
      </c>
      <c r="D16" s="5" t="inlineStr">
        <is>
          <t>new-taipei</t>
        </is>
      </c>
      <c r="E16" s="5" t="inlineStr">
        <is>
          <t>塭仔圳重劃</t>
        </is>
      </c>
      <c r="F16" s="5" t="inlineStr">
        <is>
          <t>公辦市地重劃</t>
        </is>
      </c>
      <c r="G16" s="5" t="inlineStr">
        <is>
          <t>築滿滿</t>
        </is>
      </c>
      <c r="H16" s="5" t="inlineStr">
        <is>
          <t>璞元建設(璞園)/堃達土地開發</t>
        </is>
      </c>
      <c r="I16" s="5" t="inlineStr">
        <is>
          <t>392戶</t>
        </is>
      </c>
      <c r="J16" s="5" t="inlineStr">
        <is>
          <t>26-42坪</t>
        </is>
      </c>
      <c r="K16" s="5" t="inlineStr"/>
      <c r="L16" s="5" t="inlineStr"/>
      <c r="M16" s="5" t="inlineStr">
        <is>
          <t>銷售中</t>
        </is>
      </c>
      <c r="N16" s="5" t="inlineStr">
        <is>
          <t>L3</t>
        </is>
      </c>
      <c r="O16" s="5" t="inlineStr">
        <is>
          <t>https://www.mydachi.com.tw/reviewer/taishan_jmm/</t>
        </is>
      </c>
    </row>
    <row r="17">
      <c r="A17" s="5" t="n">
        <v>16</v>
      </c>
      <c r="B17" s="5" t="inlineStr">
        <is>
          <t>新北市</t>
        </is>
      </c>
      <c r="C17" s="5" t="inlineStr">
        <is>
          <t>A21002</t>
        </is>
      </c>
      <c r="D17" s="5" t="inlineStr">
        <is>
          <t>new-taipei</t>
        </is>
      </c>
      <c r="E17" s="5" t="inlineStr">
        <is>
          <t>塭仔圳重劃</t>
        </is>
      </c>
      <c r="F17" s="5" t="inlineStr">
        <is>
          <t>公辦市地重劃</t>
        </is>
      </c>
      <c r="G17" s="5" t="inlineStr">
        <is>
          <t>宏國宏道豐滙</t>
        </is>
      </c>
      <c r="H17" s="5" t="inlineStr">
        <is>
          <t>宏國建設</t>
        </is>
      </c>
      <c r="I17" s="5" t="inlineStr"/>
      <c r="J17" s="5" t="inlineStr">
        <is>
          <t>48坪</t>
        </is>
      </c>
      <c r="K17" s="5" t="inlineStr"/>
      <c r="L17" s="5" t="inlineStr"/>
      <c r="M17" s="5" t="inlineStr">
        <is>
          <t>交屋中</t>
        </is>
      </c>
      <c r="N17" s="5" t="inlineStr">
        <is>
          <t>L3</t>
        </is>
      </c>
      <c r="O17" s="5" t="inlineStr">
        <is>
          <t>https://community.houseprice.tw/building/140382/sell/</t>
        </is>
      </c>
    </row>
    <row r="18">
      <c r="A18" s="5" t="n">
        <v>17</v>
      </c>
      <c r="B18" s="5" t="inlineStr">
        <is>
          <t>新北市</t>
        </is>
      </c>
      <c r="C18" s="5" t="inlineStr">
        <is>
          <t>A21002</t>
        </is>
      </c>
      <c r="D18" s="5" t="inlineStr">
        <is>
          <t>new-taipei</t>
        </is>
      </c>
      <c r="E18" s="5" t="inlineStr">
        <is>
          <t>塭仔圳重劃</t>
        </is>
      </c>
      <c r="F18" s="5" t="inlineStr">
        <is>
          <t>公辦市地重劃</t>
        </is>
      </c>
      <c r="G18" s="5" t="inlineStr">
        <is>
          <t>明日城御風</t>
        </is>
      </c>
      <c r="H18" s="5" t="inlineStr"/>
      <c r="I18" s="5" t="inlineStr"/>
      <c r="J18" s="5" t="inlineStr"/>
      <c r="K18" s="5" t="inlineStr">
        <is>
          <t>52萬/坪</t>
        </is>
      </c>
      <c r="L18" s="5" t="inlineStr"/>
      <c r="M18" s="5" t="inlineStr">
        <is>
          <t>已完工</t>
        </is>
      </c>
      <c r="N18" s="5" t="inlineStr">
        <is>
          <t>L3</t>
        </is>
      </c>
      <c r="O18" s="5" t="inlineStr">
        <is>
          <t>https://market.591.com.tw/11971?room=1</t>
        </is>
      </c>
    </row>
    <row r="19">
      <c r="A19" s="5" t="n">
        <v>18</v>
      </c>
      <c r="B19" s="5" t="inlineStr">
        <is>
          <t>新北市</t>
        </is>
      </c>
      <c r="C19" s="5" t="inlineStr">
        <is>
          <t>A21002</t>
        </is>
      </c>
      <c r="D19" s="5" t="inlineStr">
        <is>
          <t>new-taipei</t>
        </is>
      </c>
      <c r="E19" s="5" t="inlineStr">
        <is>
          <t>板橋浮洲重劃</t>
        </is>
      </c>
      <c r="F19" s="5" t="inlineStr">
        <is>
          <t>公辦市地重劃</t>
        </is>
      </c>
      <c r="G19" s="5" t="inlineStr">
        <is>
          <t>日勝幸福站(浮洲合宜住宅)</t>
        </is>
      </c>
      <c r="H19" s="5" t="inlineStr">
        <is>
          <t>日勝生活科技</t>
        </is>
      </c>
      <c r="I19" s="5" t="inlineStr"/>
      <c r="J19" s="5" t="inlineStr"/>
      <c r="K19" s="5" t="inlineStr"/>
      <c r="L19" s="5" t="inlineStr">
        <is>
          <t>2014</t>
        </is>
      </c>
      <c r="M19" s="5" t="inlineStr">
        <is>
          <t>已完工</t>
        </is>
      </c>
      <c r="N19" s="5" t="inlineStr">
        <is>
          <t>L3</t>
        </is>
      </c>
      <c r="O19" s="5" t="inlineStr">
        <is>
          <t>http://www.perfectlife.com.tw/index</t>
        </is>
      </c>
    </row>
    <row r="20">
      <c r="A20" s="5" t="n">
        <v>19</v>
      </c>
      <c r="B20" s="5" t="inlineStr">
        <is>
          <t>新北市</t>
        </is>
      </c>
      <c r="C20" s="5" t="inlineStr">
        <is>
          <t>A21002</t>
        </is>
      </c>
      <c r="D20" s="5" t="inlineStr">
        <is>
          <t>new-taipei</t>
        </is>
      </c>
      <c r="E20" s="5" t="inlineStr">
        <is>
          <t>板橋浮洲重劃</t>
        </is>
      </c>
      <c r="F20" s="5" t="inlineStr">
        <is>
          <t>公辦市地重劃</t>
        </is>
      </c>
      <c r="G20" s="5" t="inlineStr">
        <is>
          <t>浮洲合宜住宅(A2/A3/A6)</t>
        </is>
      </c>
      <c r="H20" s="5" t="inlineStr"/>
      <c r="I20" s="5" t="inlineStr"/>
      <c r="J20" s="5" t="inlineStr"/>
      <c r="K20" s="5" t="inlineStr"/>
      <c r="L20" s="5" t="inlineStr">
        <is>
          <t>2014</t>
        </is>
      </c>
      <c r="M20" s="5" t="inlineStr">
        <is>
          <t>已完工</t>
        </is>
      </c>
      <c r="N20" s="5" t="inlineStr">
        <is>
          <t>L3</t>
        </is>
      </c>
      <c r="O20" s="5" t="inlineStr">
        <is>
          <t>https://www.twarchitect.org.tw/special/%E6%B5%AE%E6%B4%B2%E5%90%88%E5%AE%9C%E4%BD%8F%E5%AE%85%E5%86%8D%E6%8E%A2/</t>
        </is>
      </c>
    </row>
    <row r="21">
      <c r="A21" s="5" t="n">
        <v>20</v>
      </c>
      <c r="B21" s="5" t="inlineStr">
        <is>
          <t>新北市</t>
        </is>
      </c>
      <c r="C21" s="5" t="inlineStr">
        <is>
          <t>A21002</t>
        </is>
      </c>
      <c r="D21" s="5" t="inlineStr">
        <is>
          <t>new-taipei</t>
        </is>
      </c>
      <c r="E21" s="5" t="inlineStr">
        <is>
          <t>三峽自辦重劃群</t>
        </is>
      </c>
      <c r="F21" s="5" t="inlineStr">
        <is>
          <t>自辦市地重劃</t>
        </is>
      </c>
      <c r="G21" s="5" t="inlineStr">
        <is>
          <t>遠雄耶魯</t>
        </is>
      </c>
      <c r="H21" s="5" t="inlineStr">
        <is>
          <t>遠雄建設</t>
        </is>
      </c>
      <c r="I21" s="5" t="inlineStr">
        <is>
          <t>1024戶</t>
        </is>
      </c>
      <c r="J21" s="5" t="inlineStr"/>
      <c r="K21" s="5" t="inlineStr">
        <is>
          <t>46.51萬/坪</t>
        </is>
      </c>
      <c r="L21" s="5" t="inlineStr"/>
      <c r="M21" s="5" t="inlineStr">
        <is>
          <t>已完工</t>
        </is>
      </c>
      <c r="N21" s="5" t="inlineStr">
        <is>
          <t>L3</t>
        </is>
      </c>
      <c r="O21" s="5" t="inlineStr">
        <is>
          <t>https://www.housefeel.com.tw/article/%E5%8C%97%E5%A4%A7%E7%89%B9%E5%8D%80-%E5%8C%97%E5%A4%A7-%E4%B8%89%E5%B3%BD-%E4%B8%89%E9%B6%AF%E7%B7%9A/</t>
        </is>
      </c>
    </row>
    <row r="22">
      <c r="A22" s="5" t="n">
        <v>21</v>
      </c>
      <c r="B22" s="5" t="inlineStr">
        <is>
          <t>新北市</t>
        </is>
      </c>
      <c r="C22" s="5" t="inlineStr">
        <is>
          <t>A21002</t>
        </is>
      </c>
      <c r="D22" s="5" t="inlineStr">
        <is>
          <t>new-taipei</t>
        </is>
      </c>
      <c r="E22" s="5" t="inlineStr">
        <is>
          <t>三峽自辦重劃群</t>
        </is>
      </c>
      <c r="F22" s="5" t="inlineStr">
        <is>
          <t>自辦市地重劃</t>
        </is>
      </c>
      <c r="G22" s="5" t="inlineStr">
        <is>
          <t>遠雄大學劍橋</t>
        </is>
      </c>
      <c r="H22" s="5" t="inlineStr">
        <is>
          <t>遠雄建設</t>
        </is>
      </c>
      <c r="I22" s="5" t="inlineStr">
        <is>
          <t>824戶</t>
        </is>
      </c>
      <c r="J22" s="5" t="inlineStr"/>
      <c r="K22" s="5" t="inlineStr">
        <is>
          <t>43.72萬/坪</t>
        </is>
      </c>
      <c r="L22" s="5" t="inlineStr"/>
      <c r="M22" s="5" t="inlineStr">
        <is>
          <t>已完工</t>
        </is>
      </c>
      <c r="N22" s="5" t="inlineStr">
        <is>
          <t>L3</t>
        </is>
      </c>
      <c r="O22" s="5" t="inlineStr">
        <is>
          <t>https://www.housefeel.com.tw/article/%E5%8C%97%E5%A4%A7%E7%89%B9%E5%8D%80-%E5%8C%97%E5%A4%A7-%E4%B8%89%E5%B3%BD-%E4%B8%89%E9%B6%AF%E7%B7%9A/</t>
        </is>
      </c>
    </row>
    <row r="23">
      <c r="A23" s="5" t="n">
        <v>22</v>
      </c>
      <c r="B23" s="5" t="inlineStr">
        <is>
          <t>新北市</t>
        </is>
      </c>
      <c r="C23" s="5" t="inlineStr">
        <is>
          <t>A21002</t>
        </is>
      </c>
      <c r="D23" s="5" t="inlineStr">
        <is>
          <t>new-taipei</t>
        </is>
      </c>
      <c r="E23" s="5" t="inlineStr">
        <is>
          <t>三峽自辦重劃群</t>
        </is>
      </c>
      <c r="F23" s="5" t="inlineStr">
        <is>
          <t>自辦市地重劃</t>
        </is>
      </c>
      <c r="G23" s="5" t="inlineStr">
        <is>
          <t>麗寶國際館</t>
        </is>
      </c>
      <c r="H23" s="5" t="inlineStr">
        <is>
          <t>麗寶建設</t>
        </is>
      </c>
      <c r="I23" s="5" t="inlineStr">
        <is>
          <t>431戶</t>
        </is>
      </c>
      <c r="J23" s="5" t="inlineStr"/>
      <c r="K23" s="5" t="inlineStr">
        <is>
          <t>50.29萬/坪</t>
        </is>
      </c>
      <c r="L23" s="5" t="inlineStr"/>
      <c r="M23" s="5" t="inlineStr">
        <is>
          <t>已完工</t>
        </is>
      </c>
      <c r="N23" s="5" t="inlineStr">
        <is>
          <t>L3</t>
        </is>
      </c>
      <c r="O23" s="5" t="inlineStr">
        <is>
          <t>https://www.housefeel.com.tw/article/%E5%8C%97%E5%A4%A7%E7%89%B9%E5%8D%80-%E5%8C%97%E5%A4%A7-%E4%B8%89%E5%B3%BD-%E4%B8%89%E9%B6%AF%E7%B7%9A/</t>
        </is>
      </c>
    </row>
    <row r="24">
      <c r="A24" s="5" t="n">
        <v>23</v>
      </c>
      <c r="B24" s="5" t="inlineStr">
        <is>
          <t>新北市</t>
        </is>
      </c>
      <c r="C24" s="5" t="inlineStr">
        <is>
          <t>A21002</t>
        </is>
      </c>
      <c r="D24" s="5" t="inlineStr">
        <is>
          <t>new-taipei</t>
        </is>
      </c>
      <c r="E24" s="5" t="inlineStr">
        <is>
          <t>三峽自辦重劃群</t>
        </is>
      </c>
      <c r="F24" s="5" t="inlineStr">
        <is>
          <t>自辦市地重劃</t>
        </is>
      </c>
      <c r="G24" s="5" t="inlineStr">
        <is>
          <t>將捷MIT</t>
        </is>
      </c>
      <c r="H24" s="5" t="inlineStr">
        <is>
          <t>將捷建設</t>
        </is>
      </c>
      <c r="I24" s="5" t="inlineStr">
        <is>
          <t>155戶</t>
        </is>
      </c>
      <c r="J24" s="5" t="inlineStr">
        <is>
          <t>26-52坪</t>
        </is>
      </c>
      <c r="K24" s="5" t="inlineStr">
        <is>
          <t>58.93萬/坪</t>
        </is>
      </c>
      <c r="L24" s="5" t="inlineStr"/>
      <c r="M24" s="5" t="inlineStr">
        <is>
          <t>已完工</t>
        </is>
      </c>
      <c r="N24" s="5" t="inlineStr">
        <is>
          <t>L3</t>
        </is>
      </c>
      <c r="O24" s="5" t="inlineStr">
        <is>
          <t>https://www.housefeel.com.tw/article/%E5%8C%97%E5%A4%A7%E7%89%B9%E5%8D%80-%E5%8C%97%E5%A4%A7-%E4%B8%89%E5%B3%BD-%E4%B8%89%E9%B6%AF%E7%B7%9A/</t>
        </is>
      </c>
    </row>
    <row r="25">
      <c r="A25" s="5" t="n">
        <v>24</v>
      </c>
      <c r="B25" s="5" t="inlineStr">
        <is>
          <t>新北市</t>
        </is>
      </c>
      <c r="C25" s="5" t="inlineStr">
        <is>
          <t>A21002</t>
        </is>
      </c>
      <c r="D25" s="5" t="inlineStr">
        <is>
          <t>new-taipei</t>
        </is>
      </c>
      <c r="E25" s="5" t="inlineStr">
        <is>
          <t>三峽自辦重劃群</t>
        </is>
      </c>
      <c r="F25" s="5" t="inlineStr">
        <is>
          <t>自辦市地重劃</t>
        </is>
      </c>
      <c r="G25" s="5" t="inlineStr">
        <is>
          <t>北大極</t>
        </is>
      </c>
      <c r="H25" s="5" t="inlineStr"/>
      <c r="I25" s="5" t="inlineStr">
        <is>
          <t>89戶</t>
        </is>
      </c>
      <c r="J25" s="5" t="inlineStr">
        <is>
          <t>18-30坪</t>
        </is>
      </c>
      <c r="K25" s="5" t="inlineStr">
        <is>
          <t>68.57萬/坪</t>
        </is>
      </c>
      <c r="L25" s="5" t="inlineStr"/>
      <c r="M25" s="5" t="inlineStr">
        <is>
          <t>交屋中</t>
        </is>
      </c>
      <c r="N25" s="5" t="inlineStr">
        <is>
          <t>L3</t>
        </is>
      </c>
      <c r="O25" s="5" t="inlineStr">
        <is>
          <t>https://www.housefeel.com.tw/article/%E5%8C%97%E5%A4%A7%E7%89%B9%E5%8D%80-%E5%8C%97%E5%A4%A7-%E4%B8%89%E5%B3%BD-%E4%B8%89%E9%B6%AF%E7%B7%9A/</t>
        </is>
      </c>
    </row>
    <row r="26">
      <c r="A26" s="5" t="n">
        <v>25</v>
      </c>
      <c r="B26" s="5" t="inlineStr">
        <is>
          <t>新北市</t>
        </is>
      </c>
      <c r="C26" s="5" t="inlineStr">
        <is>
          <t>A21002</t>
        </is>
      </c>
      <c r="D26" s="5" t="inlineStr">
        <is>
          <t>new-taipei</t>
        </is>
      </c>
      <c r="E26" s="5" t="inlineStr">
        <is>
          <t>三峽自辦重劃群</t>
        </is>
      </c>
      <c r="F26" s="5" t="inlineStr">
        <is>
          <t>自辦市地重劃</t>
        </is>
      </c>
      <c r="G26" s="5" t="inlineStr">
        <is>
          <t>女王萬歲2</t>
        </is>
      </c>
      <c r="H26" s="5" t="inlineStr"/>
      <c r="I26" s="5" t="inlineStr">
        <is>
          <t>41戶</t>
        </is>
      </c>
      <c r="J26" s="5" t="inlineStr">
        <is>
          <t>25-35坪</t>
        </is>
      </c>
      <c r="K26" s="5" t="inlineStr">
        <is>
          <t>65.63萬/坪</t>
        </is>
      </c>
      <c r="L26" s="5" t="inlineStr"/>
      <c r="M26" s="5" t="inlineStr">
        <is>
          <t>交屋中</t>
        </is>
      </c>
      <c r="N26" s="5" t="inlineStr">
        <is>
          <t>L3</t>
        </is>
      </c>
      <c r="O26" s="5" t="inlineStr">
        <is>
          <t>https://www.housefeel.com.tw/article/%E5%8C%97%E5%A4%A7%E7%89%B9%E5%8D%80-%E5%8C%97%E5%A4%A7-%E4%B8%89%E5%B3%BD-%E4%B8%89%E9%B6%AF%E7%B7%9A/</t>
        </is>
      </c>
    </row>
    <row r="27">
      <c r="A27" s="5" t="n">
        <v>26</v>
      </c>
      <c r="B27" s="5" t="inlineStr">
        <is>
          <t>新北市</t>
        </is>
      </c>
      <c r="C27" s="5" t="inlineStr">
        <is>
          <t>A21002</t>
        </is>
      </c>
      <c r="D27" s="5" t="inlineStr">
        <is>
          <t>new-taipei</t>
        </is>
      </c>
      <c r="E27" s="5" t="inlineStr">
        <is>
          <t>三峽自辦重劃群</t>
        </is>
      </c>
      <c r="F27" s="5" t="inlineStr">
        <is>
          <t>自辦市地重劃</t>
        </is>
      </c>
      <c r="G27" s="5" t="inlineStr">
        <is>
          <t>北大悠揚</t>
        </is>
      </c>
      <c r="H27" s="5" t="inlineStr"/>
      <c r="I27" s="5" t="inlineStr">
        <is>
          <t>144戶</t>
        </is>
      </c>
      <c r="J27" s="5" t="inlineStr">
        <is>
          <t>23-37坪</t>
        </is>
      </c>
      <c r="K27" s="5" t="inlineStr">
        <is>
          <t>60.06萬/坪</t>
        </is>
      </c>
      <c r="L27" s="5" t="inlineStr">
        <is>
          <t>2030</t>
        </is>
      </c>
      <c r="M27" s="5" t="inlineStr">
        <is>
          <t>預售</t>
        </is>
      </c>
      <c r="N27" s="5" t="inlineStr">
        <is>
          <t>L3</t>
        </is>
      </c>
      <c r="O27" s="5" t="inlineStr">
        <is>
          <t>https://www.housefeel.com.tw/article/%E5%8C%97%E5%A4%A7%E7%89%B9%E5%8D%80-%E5%8C%97%E5%A4%A7-%E4%B8%89%E5%B3%BD-%E4%B8%89%E9%B6%AF%E7%B7%9A/</t>
        </is>
      </c>
    </row>
    <row r="28">
      <c r="A28" s="5" t="n">
        <v>27</v>
      </c>
      <c r="B28" s="5" t="inlineStr">
        <is>
          <t>新北市</t>
        </is>
      </c>
      <c r="C28" s="5" t="inlineStr">
        <is>
          <t>A21002</t>
        </is>
      </c>
      <c r="D28" s="5" t="inlineStr">
        <is>
          <t>new-taipei</t>
        </is>
      </c>
      <c r="E28" s="5" t="inlineStr">
        <is>
          <t>三峽自辦重劃群</t>
        </is>
      </c>
      <c r="F28" s="5" t="inlineStr">
        <is>
          <t>自辦市地重劃</t>
        </is>
      </c>
      <c r="G28" s="5" t="inlineStr">
        <is>
          <t>將捷朗學</t>
        </is>
      </c>
      <c r="H28" s="5" t="inlineStr">
        <is>
          <t>將捷建設</t>
        </is>
      </c>
      <c r="I28" s="5" t="inlineStr">
        <is>
          <t>60戶</t>
        </is>
      </c>
      <c r="J28" s="5" t="inlineStr">
        <is>
          <t>20-38坪</t>
        </is>
      </c>
      <c r="K28" s="5" t="inlineStr">
        <is>
          <t>69.02萬/坪</t>
        </is>
      </c>
      <c r="L28" s="5" t="inlineStr">
        <is>
          <t>2029</t>
        </is>
      </c>
      <c r="M28" s="5" t="inlineStr">
        <is>
          <t>預售</t>
        </is>
      </c>
      <c r="N28" s="5" t="inlineStr">
        <is>
          <t>L3</t>
        </is>
      </c>
      <c r="O28" s="5" t="inlineStr">
        <is>
          <t>https://www.housefeel.com.tw/article/%E5%8C%97%E5%A4%A7%E7%89%B9%E5%8D%80-%E5%8C%97%E5%A4%A7-%E4%B8%89%E5%B3%BD-%E4%B8%89%E9%B6%AF%E7%B7%9A/</t>
        </is>
      </c>
    </row>
    <row r="29">
      <c r="A29" s="5" t="n">
        <v>28</v>
      </c>
      <c r="B29" s="5" t="inlineStr">
        <is>
          <t>新北市</t>
        </is>
      </c>
      <c r="C29" s="5" t="inlineStr">
        <is>
          <t>A21002</t>
        </is>
      </c>
      <c r="D29" s="5" t="inlineStr">
        <is>
          <t>new-taipei</t>
        </is>
      </c>
      <c r="E29" s="5" t="inlineStr">
        <is>
          <t>林口新市鎮</t>
        </is>
      </c>
      <c r="F29" s="5" t="inlineStr">
        <is>
          <t>區段徵收</t>
        </is>
      </c>
      <c r="G29" s="5" t="inlineStr">
        <is>
          <t>A8敦品/緯詮美學</t>
        </is>
      </c>
      <c r="H29" s="5" t="inlineStr">
        <is>
          <t>緯詮建設</t>
        </is>
      </c>
      <c r="I29" s="5" t="inlineStr">
        <is>
          <t>83戶</t>
        </is>
      </c>
      <c r="J29" s="5" t="inlineStr"/>
      <c r="K29" s="5" t="inlineStr">
        <is>
          <t>53.98萬/坪</t>
        </is>
      </c>
      <c r="L29" s="5" t="inlineStr"/>
      <c r="M29" s="5" t="inlineStr">
        <is>
          <t>已完工</t>
        </is>
      </c>
      <c r="N29" s="5" t="inlineStr">
        <is>
          <t>L3</t>
        </is>
      </c>
      <c r="O29" s="5" t="inlineStr">
        <is>
          <t>https://www.housefeel.com.tw/article/%E6%9E%97%E5%8F%A3%E6%96%B0%E5%B8%82%E9%8E%AE-a7-a8-a9-%E6%9E%97%E5%8F%A3%E9%87%8D%E5%8A%83%E5%8D%80/</t>
        </is>
      </c>
    </row>
    <row r="30">
      <c r="A30" s="5" t="n">
        <v>29</v>
      </c>
      <c r="B30" s="5" t="inlineStr">
        <is>
          <t>新北市</t>
        </is>
      </c>
      <c r="C30" s="5" t="inlineStr">
        <is>
          <t>A21002</t>
        </is>
      </c>
      <c r="D30" s="5" t="inlineStr">
        <is>
          <t>new-taipei</t>
        </is>
      </c>
      <c r="E30" s="5" t="inlineStr">
        <is>
          <t>林口新市鎮</t>
        </is>
      </c>
      <c r="F30" s="5" t="inlineStr">
        <is>
          <t>區段徵收</t>
        </is>
      </c>
      <c r="G30" s="5" t="inlineStr">
        <is>
          <t>三禾雅堺</t>
        </is>
      </c>
      <c r="H30" s="5" t="inlineStr"/>
      <c r="I30" s="5" t="inlineStr">
        <is>
          <t>27戶</t>
        </is>
      </c>
      <c r="J30" s="5" t="inlineStr"/>
      <c r="K30" s="5" t="inlineStr">
        <is>
          <t>54.67萬/坪</t>
        </is>
      </c>
      <c r="L30" s="5" t="inlineStr"/>
      <c r="M30" s="5" t="inlineStr">
        <is>
          <t>已完工</t>
        </is>
      </c>
      <c r="N30" s="5" t="inlineStr">
        <is>
          <t>L3</t>
        </is>
      </c>
      <c r="O30" s="5" t="inlineStr">
        <is>
          <t>https://www.housefeel.com.tw/article/%E6%9E%97%E5%8F%A3%E6%96%B0%E5%B8%82%E9%8E%AE-a7-a8-a9-%E6%9E%97%E5%8F%A3%E9%87%8D%E5%8A%83%E5%8D%80/</t>
        </is>
      </c>
    </row>
    <row r="31">
      <c r="A31" s="5" t="n">
        <v>30</v>
      </c>
      <c r="B31" s="5" t="inlineStr">
        <is>
          <t>新北市</t>
        </is>
      </c>
      <c r="C31" s="5" t="inlineStr">
        <is>
          <t>A21002</t>
        </is>
      </c>
      <c r="D31" s="5" t="inlineStr">
        <is>
          <t>new-taipei</t>
        </is>
      </c>
      <c r="E31" s="5" t="inlineStr">
        <is>
          <t>林口新市鎮</t>
        </is>
      </c>
      <c r="F31" s="5" t="inlineStr">
        <is>
          <t>區段徵收</t>
        </is>
      </c>
      <c r="G31" s="5" t="inlineStr">
        <is>
          <t>藝學苑</t>
        </is>
      </c>
      <c r="H31" s="5" t="inlineStr"/>
      <c r="I31" s="5" t="inlineStr">
        <is>
          <t>53戶</t>
        </is>
      </c>
      <c r="J31" s="5" t="inlineStr"/>
      <c r="K31" s="5" t="inlineStr">
        <is>
          <t>42.35萬/坪</t>
        </is>
      </c>
      <c r="L31" s="5" t="inlineStr"/>
      <c r="M31" s="5" t="inlineStr">
        <is>
          <t>已完工</t>
        </is>
      </c>
      <c r="N31" s="5" t="inlineStr">
        <is>
          <t>L3</t>
        </is>
      </c>
      <c r="O31" s="5" t="inlineStr">
        <is>
          <t>https://www.housefeel.com.tw/article/%E6%9E%97%E5%8F%A3%E6%96%B0%E5%B8%82%E9%8E%AE-a7-a8-a9-%E6%9E%97%E5%8F%A3%E9%87%8D%E5%8A%83%E5%8D%80/</t>
        </is>
      </c>
    </row>
    <row r="32">
      <c r="A32" s="5" t="n">
        <v>31</v>
      </c>
      <c r="B32" s="5" t="inlineStr">
        <is>
          <t>新北市</t>
        </is>
      </c>
      <c r="C32" s="5" t="inlineStr">
        <is>
          <t>A21002</t>
        </is>
      </c>
      <c r="D32" s="5" t="inlineStr">
        <is>
          <t>new-taipei</t>
        </is>
      </c>
      <c r="E32" s="5" t="inlineStr">
        <is>
          <t>林口新市鎮</t>
        </is>
      </c>
      <c r="F32" s="5" t="inlineStr">
        <is>
          <t>區段徵收</t>
        </is>
      </c>
      <c r="G32" s="5" t="inlineStr">
        <is>
          <t>鴻越雲鼎</t>
        </is>
      </c>
      <c r="H32" s="5" t="inlineStr">
        <is>
          <t>鴻越建設</t>
        </is>
      </c>
      <c r="I32" s="5" t="inlineStr">
        <is>
          <t>41戶</t>
        </is>
      </c>
      <c r="J32" s="5" t="inlineStr"/>
      <c r="K32" s="5" t="inlineStr">
        <is>
          <t>53.16萬/坪</t>
        </is>
      </c>
      <c r="L32" s="5" t="inlineStr"/>
      <c r="M32" s="5" t="inlineStr">
        <is>
          <t>已完工</t>
        </is>
      </c>
      <c r="N32" s="5" t="inlineStr">
        <is>
          <t>L3</t>
        </is>
      </c>
      <c r="O32" s="5" t="inlineStr">
        <is>
          <t>https://www.housefeel.com.tw/article/%E6%9E%97%E5%8F%A3%E6%96%B0%E5%B8%82%E9%8E%AE-a7-a8-a9-%E6%9E%97%E5%8F%A3%E9%87%8D%E5%8A%83%E5%8D%80/</t>
        </is>
      </c>
    </row>
    <row r="33">
      <c r="A33" s="5" t="n">
        <v>32</v>
      </c>
      <c r="B33" s="5" t="inlineStr">
        <is>
          <t>新北市</t>
        </is>
      </c>
      <c r="C33" s="5" t="inlineStr">
        <is>
          <t>A21002</t>
        </is>
      </c>
      <c r="D33" s="5" t="inlineStr">
        <is>
          <t>new-taipei</t>
        </is>
      </c>
      <c r="E33" s="5" t="inlineStr">
        <is>
          <t>林口新市鎮</t>
        </is>
      </c>
      <c r="F33" s="5" t="inlineStr">
        <is>
          <t>區段徵收</t>
        </is>
      </c>
      <c r="G33" s="5" t="inlineStr">
        <is>
          <t>合輝豐秀</t>
        </is>
      </c>
      <c r="H33" s="5" t="inlineStr">
        <is>
          <t>合輝建設</t>
        </is>
      </c>
      <c r="I33" s="5" t="inlineStr">
        <is>
          <t>75戶</t>
        </is>
      </c>
      <c r="J33" s="5" t="inlineStr"/>
      <c r="K33" s="5" t="inlineStr"/>
      <c r="L33" s="5" t="inlineStr"/>
      <c r="M33" s="5" t="inlineStr">
        <is>
          <t>已完工</t>
        </is>
      </c>
      <c r="N33" s="5" t="inlineStr">
        <is>
          <t>L3</t>
        </is>
      </c>
      <c r="O33" s="5" t="inlineStr">
        <is>
          <t>https://www.housefeel.com.tw/article/%E6%9E%97%E5%8F%A3%E6%96%B0%E5%B8%82%E9%8E%AE-a7-a8-a9-%E6%9E%97%E5%8F%A3%E9%87%8D%E5%8A%83%E5%8D%80/</t>
        </is>
      </c>
    </row>
    <row r="34">
      <c r="A34" s="5" t="n">
        <v>33</v>
      </c>
      <c r="B34" s="5" t="inlineStr">
        <is>
          <t>新北市</t>
        </is>
      </c>
      <c r="C34" s="5" t="inlineStr">
        <is>
          <t>A21002</t>
        </is>
      </c>
      <c r="D34" s="5" t="inlineStr">
        <is>
          <t>new-taipei</t>
        </is>
      </c>
      <c r="E34" s="5" t="inlineStr">
        <is>
          <t>林口新市鎮</t>
        </is>
      </c>
      <c r="F34" s="5" t="inlineStr">
        <is>
          <t>區段徵收</t>
        </is>
      </c>
      <c r="G34" s="5" t="inlineStr">
        <is>
          <t>福樺春天</t>
        </is>
      </c>
      <c r="H34" s="5" t="inlineStr">
        <is>
          <t>福樺建設</t>
        </is>
      </c>
      <c r="I34" s="5" t="inlineStr">
        <is>
          <t>343戶</t>
        </is>
      </c>
      <c r="J34" s="5" t="inlineStr"/>
      <c r="K34" s="5" t="inlineStr">
        <is>
          <t>66.91萬/坪</t>
        </is>
      </c>
      <c r="L34" s="5" t="inlineStr">
        <is>
          <t>2030</t>
        </is>
      </c>
      <c r="M34" s="5" t="inlineStr">
        <is>
          <t>預售</t>
        </is>
      </c>
      <c r="N34" s="5" t="inlineStr">
        <is>
          <t>L3</t>
        </is>
      </c>
      <c r="O34" s="5" t="inlineStr">
        <is>
          <t>https://www.housefeel.com.tw/article/%E6%9E%97%E5%8F%A3%E6%96%B0%E5%B8%82%E9%8E%AE-a7-a8-a9-%E6%9E%97%E5%8F%A3%E9%87%8D%E5%8A%83%E5%8D%80/</t>
        </is>
      </c>
    </row>
    <row r="35">
      <c r="A35" s="5" t="n">
        <v>34</v>
      </c>
      <c r="B35" s="5" t="inlineStr">
        <is>
          <t>新北市</t>
        </is>
      </c>
      <c r="C35" s="5" t="inlineStr">
        <is>
          <t>A21002</t>
        </is>
      </c>
      <c r="D35" s="5" t="inlineStr">
        <is>
          <t>new-taipei</t>
        </is>
      </c>
      <c r="E35" s="5" t="inlineStr">
        <is>
          <t>林口新市鎮</t>
        </is>
      </c>
      <c r="F35" s="5" t="inlineStr">
        <is>
          <t>區段徵收</t>
        </is>
      </c>
      <c r="G35" s="5" t="inlineStr">
        <is>
          <t>寶品極智3</t>
        </is>
      </c>
      <c r="H35" s="5" t="inlineStr">
        <is>
          <t>寶品建設</t>
        </is>
      </c>
      <c r="I35" s="5" t="inlineStr">
        <is>
          <t>12戶</t>
        </is>
      </c>
      <c r="J35" s="5" t="inlineStr"/>
      <c r="K35" s="5" t="inlineStr">
        <is>
          <t>57.54萬/坪</t>
        </is>
      </c>
      <c r="L35" s="5" t="inlineStr">
        <is>
          <t>2026</t>
        </is>
      </c>
      <c r="M35" s="5" t="inlineStr">
        <is>
          <t>預售</t>
        </is>
      </c>
      <c r="N35" s="5" t="inlineStr">
        <is>
          <t>L3</t>
        </is>
      </c>
      <c r="O35" s="5" t="inlineStr">
        <is>
          <t>https://www.housefeel.com.tw/article/%E6%9E%97%E5%8F%A3%E6%96%B0%E5%B8%82%E9%8E%AE-a7-a8-a9-%E6%9E%97%E5%8F%A3%E9%87%8D%E5%8A%83%E5%8D%80/</t>
        </is>
      </c>
    </row>
    <row r="36">
      <c r="A36" s="5" t="n">
        <v>35</v>
      </c>
      <c r="B36" s="5" t="inlineStr">
        <is>
          <t>新北市</t>
        </is>
      </c>
      <c r="C36" s="5" t="inlineStr">
        <is>
          <t>A21002</t>
        </is>
      </c>
      <c r="D36" s="5" t="inlineStr">
        <is>
          <t>new-taipei</t>
        </is>
      </c>
      <c r="E36" s="5" t="inlineStr">
        <is>
          <t>林口新市鎮</t>
        </is>
      </c>
      <c r="F36" s="5" t="inlineStr">
        <is>
          <t>區段徵收</t>
        </is>
      </c>
      <c r="G36" s="5" t="inlineStr">
        <is>
          <t>昇樺樂活</t>
        </is>
      </c>
      <c r="H36" s="5" t="inlineStr">
        <is>
          <t>昇樺建設</t>
        </is>
      </c>
      <c r="I36" s="5" t="inlineStr">
        <is>
          <t>58戶</t>
        </is>
      </c>
      <c r="J36" s="5" t="inlineStr"/>
      <c r="K36" s="5" t="inlineStr">
        <is>
          <t>48.21萬/坪</t>
        </is>
      </c>
      <c r="L36" s="5" t="inlineStr">
        <is>
          <t>2026</t>
        </is>
      </c>
      <c r="M36" s="5" t="inlineStr">
        <is>
          <t>預售</t>
        </is>
      </c>
      <c r="N36" s="5" t="inlineStr">
        <is>
          <t>L3</t>
        </is>
      </c>
      <c r="O36" s="5" t="inlineStr">
        <is>
          <t>https://www.housefeel.com.tw/article/%E6%9E%97%E5%8F%A3%E6%96%B0%E5%B8%82%E9%8E%AE-a7-a8-a9-%E6%9E%97%E5%8F%A3%E9%87%8D%E5%8A%83%E5%8D%80/</t>
        </is>
      </c>
    </row>
    <row r="37">
      <c r="A37" s="5" t="n">
        <v>36</v>
      </c>
      <c r="B37" s="5" t="inlineStr">
        <is>
          <t>新北市</t>
        </is>
      </c>
      <c r="C37" s="5" t="inlineStr">
        <is>
          <t>A21002</t>
        </is>
      </c>
      <c r="D37" s="5" t="inlineStr">
        <is>
          <t>new-taipei</t>
        </is>
      </c>
      <c r="E37" s="5" t="inlineStr">
        <is>
          <t>林口新市鎮</t>
        </is>
      </c>
      <c r="F37" s="5" t="inlineStr">
        <is>
          <t>區段徵收</t>
        </is>
      </c>
      <c r="G37" s="5" t="inlineStr">
        <is>
          <t>長堤天昀</t>
        </is>
      </c>
      <c r="H37" s="5" t="inlineStr">
        <is>
          <t>長堤建設</t>
        </is>
      </c>
      <c r="I37" s="5" t="inlineStr">
        <is>
          <t>232戶</t>
        </is>
      </c>
      <c r="J37" s="5" t="inlineStr"/>
      <c r="K37" s="5" t="inlineStr">
        <is>
          <t>45.22萬/坪</t>
        </is>
      </c>
      <c r="L37" s="5" t="inlineStr">
        <is>
          <t>2029</t>
        </is>
      </c>
      <c r="M37" s="5" t="inlineStr">
        <is>
          <t>預售</t>
        </is>
      </c>
      <c r="N37" s="5" t="inlineStr">
        <is>
          <t>L3</t>
        </is>
      </c>
      <c r="O37" s="5" t="inlineStr">
        <is>
          <t>https://www.housefeel.com.tw/article/%E6%9E%97%E5%8F%A3%E6%96%B0%E5%B8%82%E9%8E%AE-a7-a8-a9-%E6%9E%97%E5%8F%A3%E9%87%8D%E5%8A%83%E5%8D%80/</t>
        </is>
      </c>
    </row>
    <row r="38">
      <c r="A38" s="5" t="n">
        <v>37</v>
      </c>
      <c r="B38" s="5" t="inlineStr">
        <is>
          <t>新北市</t>
        </is>
      </c>
      <c r="C38" s="5" t="inlineStr">
        <is>
          <t>A21002</t>
        </is>
      </c>
      <c r="D38" s="5" t="inlineStr">
        <is>
          <t>new-taipei</t>
        </is>
      </c>
      <c r="E38" s="5" t="inlineStr">
        <is>
          <t>林口新市鎮</t>
        </is>
      </c>
      <c r="F38" s="5" t="inlineStr">
        <is>
          <t>區段徵收</t>
        </is>
      </c>
      <c r="G38" s="5" t="inlineStr">
        <is>
          <t>亞昕晴空樹</t>
        </is>
      </c>
      <c r="H38" s="5" t="inlineStr">
        <is>
          <t>亞昕建設</t>
        </is>
      </c>
      <c r="I38" s="5" t="inlineStr">
        <is>
          <t>315戶</t>
        </is>
      </c>
      <c r="J38" s="5" t="inlineStr"/>
      <c r="K38" s="5" t="inlineStr">
        <is>
          <t>64.51萬/坪</t>
        </is>
      </c>
      <c r="L38" s="5" t="inlineStr"/>
      <c r="M38" s="5" t="inlineStr">
        <is>
          <t>已完工</t>
        </is>
      </c>
      <c r="N38" s="5" t="inlineStr">
        <is>
          <t>L3</t>
        </is>
      </c>
      <c r="O38" s="5" t="inlineStr">
        <is>
          <t>https://www.housefeel.com.tw/article/%E6%9E%97%E5%8F%A3%E6%96%B0%E5%B8%82%E9%8E%AE-a7-a8-a9-%E6%9E%97%E5%8F%A3%E9%87%8D%E5%8A%83%E5%8D%80/</t>
        </is>
      </c>
    </row>
    <row r="39">
      <c r="A39" s="5" t="n">
        <v>38</v>
      </c>
      <c r="B39" s="5" t="inlineStr">
        <is>
          <t>新北市</t>
        </is>
      </c>
      <c r="C39" s="5" t="inlineStr">
        <is>
          <t>A21002</t>
        </is>
      </c>
      <c r="D39" s="5" t="inlineStr">
        <is>
          <t>new-taipei</t>
        </is>
      </c>
      <c r="E39" s="5" t="inlineStr">
        <is>
          <t>林口新市鎮</t>
        </is>
      </c>
      <c r="F39" s="5" t="inlineStr">
        <is>
          <t>區段徵收</t>
        </is>
      </c>
      <c r="G39" s="5" t="inlineStr">
        <is>
          <t>亞昕星空樹</t>
        </is>
      </c>
      <c r="H39" s="5" t="inlineStr">
        <is>
          <t>亞昕建設</t>
        </is>
      </c>
      <c r="I39" s="5" t="inlineStr">
        <is>
          <t>193戶</t>
        </is>
      </c>
      <c r="J39" s="5" t="inlineStr"/>
      <c r="K39" s="5" t="inlineStr">
        <is>
          <t>63.44萬/坪</t>
        </is>
      </c>
      <c r="L39" s="5" t="inlineStr"/>
      <c r="M39" s="5" t="inlineStr">
        <is>
          <t>已完工</t>
        </is>
      </c>
      <c r="N39" s="5" t="inlineStr">
        <is>
          <t>L3</t>
        </is>
      </c>
      <c r="O39" s="5" t="inlineStr">
        <is>
          <t>https://www.housefeel.com.tw/article/%E6%9E%97%E5%8F%A3%E6%96%B0%E5%B8%82%E9%8E%AE-a7-a8-a9-%E6%9E%97%E5%8F%A3%E9%87%8D%E5%8A%83%E5%8D%80/</t>
        </is>
      </c>
    </row>
    <row r="40">
      <c r="A40" s="5" t="n">
        <v>39</v>
      </c>
      <c r="B40" s="5" t="inlineStr">
        <is>
          <t>新北市</t>
        </is>
      </c>
      <c r="C40" s="5" t="inlineStr">
        <is>
          <t>A21002</t>
        </is>
      </c>
      <c r="D40" s="5" t="inlineStr">
        <is>
          <t>new-taipei</t>
        </is>
      </c>
      <c r="E40" s="5" t="inlineStr">
        <is>
          <t>林口新市鎮</t>
        </is>
      </c>
      <c r="F40" s="5" t="inlineStr">
        <is>
          <t>區段徵收</t>
        </is>
      </c>
      <c r="G40" s="5" t="inlineStr">
        <is>
          <t>玄泰V PARK</t>
        </is>
      </c>
      <c r="H40" s="5" t="inlineStr">
        <is>
          <t>玄泰建設</t>
        </is>
      </c>
      <c r="I40" s="5" t="inlineStr">
        <is>
          <t>57戶</t>
        </is>
      </c>
      <c r="J40" s="5" t="inlineStr"/>
      <c r="K40" s="5" t="inlineStr">
        <is>
          <t>62.21萬/坪</t>
        </is>
      </c>
      <c r="L40" s="5" t="inlineStr"/>
      <c r="M40" s="5" t="inlineStr">
        <is>
          <t>已完工</t>
        </is>
      </c>
      <c r="N40" s="5" t="inlineStr">
        <is>
          <t>L3</t>
        </is>
      </c>
      <c r="O40" s="5" t="inlineStr">
        <is>
          <t>https://www.housefeel.com.tw/article/%E6%9E%97%E5%8F%A3%E6%96%B0%E5%B8%82%E9%8E%AE-a7-a8-a9-%E6%9E%97%E5%8F%A3%E9%87%8D%E5%8A%83%E5%8D%80/</t>
        </is>
      </c>
    </row>
    <row r="41">
      <c r="A41" s="5" t="n">
        <v>40</v>
      </c>
      <c r="B41" s="5" t="inlineStr">
        <is>
          <t>新北市</t>
        </is>
      </c>
      <c r="C41" s="5" t="inlineStr">
        <is>
          <t>A21002</t>
        </is>
      </c>
      <c r="D41" s="5" t="inlineStr">
        <is>
          <t>new-taipei</t>
        </is>
      </c>
      <c r="E41" s="5" t="inlineStr">
        <is>
          <t>林口新市鎮</t>
        </is>
      </c>
      <c r="F41" s="5" t="inlineStr">
        <is>
          <t>區段徵收</t>
        </is>
      </c>
      <c r="G41" s="5" t="inlineStr">
        <is>
          <t>森聯摩天41</t>
        </is>
      </c>
      <c r="H41" s="5" t="inlineStr">
        <is>
          <t>森大開發(森聯機構)</t>
        </is>
      </c>
      <c r="I41" s="5" t="inlineStr">
        <is>
          <t>260戶</t>
        </is>
      </c>
      <c r="J41" s="5" t="inlineStr"/>
      <c r="K41" s="5" t="inlineStr">
        <is>
          <t>60.71萬/坪</t>
        </is>
      </c>
      <c r="L41" s="5" t="inlineStr"/>
      <c r="M41" s="5" t="inlineStr">
        <is>
          <t>已完工</t>
        </is>
      </c>
      <c r="N41" s="5" t="inlineStr">
        <is>
          <t>L3</t>
        </is>
      </c>
      <c r="O41" s="5" t="inlineStr">
        <is>
          <t>https://www.leju.com.tw/community/L4531013139ec2d</t>
        </is>
      </c>
    </row>
    <row r="42">
      <c r="A42" s="5" t="n">
        <v>41</v>
      </c>
      <c r="B42" s="5" t="inlineStr">
        <is>
          <t>新北市</t>
        </is>
      </c>
      <c r="C42" s="5" t="inlineStr">
        <is>
          <t>A21002</t>
        </is>
      </c>
      <c r="D42" s="5" t="inlineStr">
        <is>
          <t>new-taipei</t>
        </is>
      </c>
      <c r="E42" s="5" t="inlineStr">
        <is>
          <t>林口新市鎮</t>
        </is>
      </c>
      <c r="F42" s="5" t="inlineStr">
        <is>
          <t>區段徵收</t>
        </is>
      </c>
      <c r="G42" s="5" t="inlineStr">
        <is>
          <t>原森TWIN TOWERS</t>
        </is>
      </c>
      <c r="H42" s="5" t="inlineStr">
        <is>
          <t>原森建設</t>
        </is>
      </c>
      <c r="I42" s="5" t="inlineStr">
        <is>
          <t>293戶</t>
        </is>
      </c>
      <c r="J42" s="5" t="inlineStr"/>
      <c r="K42" s="5" t="inlineStr">
        <is>
          <t>77.46萬/坪</t>
        </is>
      </c>
      <c r="L42" s="5" t="inlineStr">
        <is>
          <t>2031</t>
        </is>
      </c>
      <c r="M42" s="5" t="inlineStr">
        <is>
          <t>預售</t>
        </is>
      </c>
      <c r="N42" s="5" t="inlineStr">
        <is>
          <t>L3</t>
        </is>
      </c>
      <c r="O42" s="5" t="inlineStr">
        <is>
          <t>https://www.housefeel.com.tw/article/%E6%9E%97%E5%8F%A3%E6%96%B0%E5%B8%82%E9%8E%AE-a7-a8-a9-%E6%9E%97%E5%8F%A3%E9%87%8D%E5%8A%83%E5%8D%80/</t>
        </is>
      </c>
    </row>
    <row r="43">
      <c r="A43" s="5" t="n">
        <v>42</v>
      </c>
      <c r="B43" s="5" t="inlineStr">
        <is>
          <t>新北市</t>
        </is>
      </c>
      <c r="C43" s="5" t="inlineStr">
        <is>
          <t>A21002</t>
        </is>
      </c>
      <c r="D43" s="5" t="inlineStr">
        <is>
          <t>new-taipei</t>
        </is>
      </c>
      <c r="E43" s="5" t="inlineStr">
        <is>
          <t>林口新市鎮</t>
        </is>
      </c>
      <c r="F43" s="5" t="inlineStr">
        <is>
          <t>區段徵收</t>
        </is>
      </c>
      <c r="G43" s="5" t="inlineStr">
        <is>
          <t>立陽頤興</t>
        </is>
      </c>
      <c r="H43" s="5" t="inlineStr">
        <is>
          <t>立陽建設</t>
        </is>
      </c>
      <c r="I43" s="5" t="inlineStr">
        <is>
          <t>174戶</t>
        </is>
      </c>
      <c r="J43" s="5" t="inlineStr"/>
      <c r="K43" s="5" t="inlineStr">
        <is>
          <t>57.87萬/坪</t>
        </is>
      </c>
      <c r="L43" s="5" t="inlineStr">
        <is>
          <t>2029</t>
        </is>
      </c>
      <c r="M43" s="5" t="inlineStr">
        <is>
          <t>預售</t>
        </is>
      </c>
      <c r="N43" s="5" t="inlineStr">
        <is>
          <t>L3</t>
        </is>
      </c>
      <c r="O43" s="5" t="inlineStr">
        <is>
          <t>https://www.housefeel.com.tw/article/%E6%9E%97%E5%8F%A3%E6%96%B0%E5%B8%82%E9%8E%AE-a7-a8-a9-%E6%9E%97%E5%8F%A3%E9%87%8D%E5%8A%83%E5%8D%80/</t>
        </is>
      </c>
    </row>
    <row r="44">
      <c r="A44" s="5" t="n">
        <v>43</v>
      </c>
      <c r="B44" s="5" t="inlineStr">
        <is>
          <t>新北市</t>
        </is>
      </c>
      <c r="C44" s="5" t="inlineStr">
        <is>
          <t>A21002</t>
        </is>
      </c>
      <c r="D44" s="5" t="inlineStr">
        <is>
          <t>new-taipei</t>
        </is>
      </c>
      <c r="E44" s="5" t="inlineStr">
        <is>
          <t>林口新市鎮</t>
        </is>
      </c>
      <c r="F44" s="5" t="inlineStr">
        <is>
          <t>區段徵收</t>
        </is>
      </c>
      <c r="G44" s="5" t="inlineStr">
        <is>
          <t>宏樸曉霧</t>
        </is>
      </c>
      <c r="H44" s="5" t="inlineStr">
        <is>
          <t>宏樸建設</t>
        </is>
      </c>
      <c r="I44" s="5" t="inlineStr">
        <is>
          <t>22戶</t>
        </is>
      </c>
      <c r="J44" s="5" t="inlineStr"/>
      <c r="K44" s="5" t="inlineStr">
        <is>
          <t>73.63萬/坪</t>
        </is>
      </c>
      <c r="L44" s="5" t="inlineStr">
        <is>
          <t>2028</t>
        </is>
      </c>
      <c r="M44" s="5" t="inlineStr">
        <is>
          <t>預售</t>
        </is>
      </c>
      <c r="N44" s="5" t="inlineStr">
        <is>
          <t>L3</t>
        </is>
      </c>
      <c r="O44" s="5" t="inlineStr">
        <is>
          <t>https://www.housefeel.com.tw/article/%E6%9E%97%E5%8F%A3%E6%96%B0%E5%B8%82%E9%8E%AE-a7-a8-a9-%E6%9E%97%E5%8F%A3%E9%87%8D%E5%8A%83%E5%8D%80/</t>
        </is>
      </c>
    </row>
    <row r="45">
      <c r="A45" s="5" t="n">
        <v>44</v>
      </c>
      <c r="B45" s="5" t="inlineStr">
        <is>
          <t>新北市</t>
        </is>
      </c>
      <c r="C45" s="5" t="inlineStr">
        <is>
          <t>A21002</t>
        </is>
      </c>
      <c r="D45" s="5" t="inlineStr">
        <is>
          <t>new-taipei</t>
        </is>
      </c>
      <c r="E45" s="5" t="inlineStr">
        <is>
          <t>林口新市鎮</t>
        </is>
      </c>
      <c r="F45" s="5" t="inlineStr">
        <is>
          <t>區段徵收</t>
        </is>
      </c>
      <c r="G45" s="5" t="inlineStr">
        <is>
          <t>璽來登帝璽</t>
        </is>
      </c>
      <c r="H45" s="5" t="inlineStr">
        <is>
          <t>璽來登建設</t>
        </is>
      </c>
      <c r="I45" s="5" t="inlineStr">
        <is>
          <t>255戶</t>
        </is>
      </c>
      <c r="J45" s="5" t="inlineStr"/>
      <c r="K45" s="5" t="inlineStr">
        <is>
          <t>80.31萬/坪</t>
        </is>
      </c>
      <c r="L45" s="5" t="inlineStr">
        <is>
          <t>2030</t>
        </is>
      </c>
      <c r="M45" s="5" t="inlineStr">
        <is>
          <t>預售</t>
        </is>
      </c>
      <c r="N45" s="5" t="inlineStr">
        <is>
          <t>L3</t>
        </is>
      </c>
      <c r="O45" s="5" t="inlineStr">
        <is>
          <t>https://www.housefeel.com.tw/article/%E6%9E%97%E5%8F%A3%E6%96%B0%E5%B8%82%E9%8E%AE-a7-a8-a9-%E6%9E%97%E5%8F%A3%E9%87%8D%E5%8A%83%E5%8D%80/</t>
        </is>
      </c>
    </row>
    <row r="46">
      <c r="A46" s="5" t="n">
        <v>45</v>
      </c>
      <c r="B46" s="5" t="inlineStr">
        <is>
          <t>新北市</t>
        </is>
      </c>
      <c r="C46" s="5" t="inlineStr">
        <is>
          <t>A21002</t>
        </is>
      </c>
      <c r="D46" s="5" t="inlineStr">
        <is>
          <t>new-taipei</t>
        </is>
      </c>
      <c r="E46" s="5" t="inlineStr">
        <is>
          <t>林口新市鎮</t>
        </is>
      </c>
      <c r="F46" s="5" t="inlineStr">
        <is>
          <t>區段徵收</t>
        </is>
      </c>
      <c r="G46" s="5" t="inlineStr">
        <is>
          <t>富堡晶鑄</t>
        </is>
      </c>
      <c r="H46" s="5" t="inlineStr">
        <is>
          <t>富堡建設</t>
        </is>
      </c>
      <c r="I46" s="5" t="inlineStr">
        <is>
          <t>186戶</t>
        </is>
      </c>
      <c r="J46" s="5" t="inlineStr"/>
      <c r="K46" s="5" t="inlineStr">
        <is>
          <t>79.37萬/坪</t>
        </is>
      </c>
      <c r="L46" s="5" t="inlineStr">
        <is>
          <t>2028</t>
        </is>
      </c>
      <c r="M46" s="5" t="inlineStr">
        <is>
          <t>預售</t>
        </is>
      </c>
      <c r="N46" s="5" t="inlineStr">
        <is>
          <t>L3</t>
        </is>
      </c>
      <c r="O46" s="5" t="inlineStr">
        <is>
          <t>https://www.housefeel.com.tw/article/%E6%9E%97%E5%8F%A3%E6%96%B0%E5%B8%82%E9%8E%AE-a7-a8-a9-%E6%9E%97%E5%8F%A3%E9%87%8D%E5%8A%83%E5%8D%80/</t>
        </is>
      </c>
    </row>
    <row r="47">
      <c r="A47" s="5" t="n">
        <v>46</v>
      </c>
      <c r="B47" s="5" t="inlineStr">
        <is>
          <t>新北市</t>
        </is>
      </c>
      <c r="C47" s="5" t="inlineStr">
        <is>
          <t>A21002</t>
        </is>
      </c>
      <c r="D47" s="5" t="inlineStr">
        <is>
          <t>new-taipei</t>
        </is>
      </c>
      <c r="E47" s="5" t="inlineStr">
        <is>
          <t>林口新市鎮</t>
        </is>
      </c>
      <c r="F47" s="5" t="inlineStr">
        <is>
          <t>區段徵收</t>
        </is>
      </c>
      <c r="G47" s="5" t="inlineStr">
        <is>
          <t>山侘一生大樓區</t>
        </is>
      </c>
      <c r="H47" s="5" t="inlineStr"/>
      <c r="I47" s="5" t="inlineStr">
        <is>
          <t>66戶</t>
        </is>
      </c>
      <c r="J47" s="5" t="inlineStr"/>
      <c r="K47" s="5" t="inlineStr">
        <is>
          <t>68.54萬/坪</t>
        </is>
      </c>
      <c r="L47" s="5" t="inlineStr">
        <is>
          <t>2026</t>
        </is>
      </c>
      <c r="M47" s="5" t="inlineStr">
        <is>
          <t>預售</t>
        </is>
      </c>
      <c r="N47" s="5" t="inlineStr">
        <is>
          <t>L3</t>
        </is>
      </c>
      <c r="O47" s="5" t="inlineStr">
        <is>
          <t>https://www.housefeel.com.tw/article/%E6%9E%97%E5%8F%A3%E6%96%B0%E5%B8%82%E9%8E%AE-a7-a8-a9-%E6%9E%97%E5%8F%A3%E9%87%8D%E5%8A%83%E5%8D%80/</t>
        </is>
      </c>
    </row>
    <row r="48">
      <c r="A48" s="5" t="n">
        <v>47</v>
      </c>
      <c r="B48" s="5" t="inlineStr">
        <is>
          <t>新北市</t>
        </is>
      </c>
      <c r="C48" s="5" t="inlineStr">
        <is>
          <t>A21002</t>
        </is>
      </c>
      <c r="D48" s="5" t="inlineStr">
        <is>
          <t>new-taipei</t>
        </is>
      </c>
      <c r="E48" s="5" t="inlineStr">
        <is>
          <t>淡海新市鎮</t>
        </is>
      </c>
      <c r="F48" s="5" t="inlineStr">
        <is>
          <t>區段徵收</t>
        </is>
      </c>
      <c r="G48" s="5" t="inlineStr">
        <is>
          <t>合康植芯</t>
        </is>
      </c>
      <c r="H48" s="5" t="inlineStr">
        <is>
          <t>合康建設</t>
        </is>
      </c>
      <c r="I48" s="5" t="inlineStr">
        <is>
          <t>165戶</t>
        </is>
      </c>
      <c r="J48" s="5" t="inlineStr">
        <is>
          <t>23-36坪</t>
        </is>
      </c>
      <c r="K48" s="5" t="inlineStr">
        <is>
          <t>37.87萬/坪</t>
        </is>
      </c>
      <c r="L48" s="5" t="inlineStr">
        <is>
          <t>2026</t>
        </is>
      </c>
      <c r="M48" s="5" t="inlineStr">
        <is>
          <t>預售</t>
        </is>
      </c>
      <c r="N48" s="5" t="inlineStr">
        <is>
          <t>L3</t>
        </is>
      </c>
      <c r="O48" s="5" t="inlineStr">
        <is>
          <t>https://www.housefeel.com.tw/article/%E6%B7%A1%E6%B5%B7%E6%96%B0%E5%B8%82%E9%8E%AE-%E4%B8%80%E6%9C%9F-%E4%BA%8C%E6%9C%9F/</t>
        </is>
      </c>
    </row>
    <row r="49">
      <c r="A49" s="5" t="n">
        <v>48</v>
      </c>
      <c r="B49" s="5" t="inlineStr">
        <is>
          <t>新北市</t>
        </is>
      </c>
      <c r="C49" s="5" t="inlineStr">
        <is>
          <t>A21002</t>
        </is>
      </c>
      <c r="D49" s="5" t="inlineStr">
        <is>
          <t>new-taipei</t>
        </is>
      </c>
      <c r="E49" s="5" t="inlineStr">
        <is>
          <t>淡海新市鎮</t>
        </is>
      </c>
      <c r="F49" s="5" t="inlineStr">
        <is>
          <t>區段徵收</t>
        </is>
      </c>
      <c r="G49" s="5" t="inlineStr">
        <is>
          <t>合謙耀時代</t>
        </is>
      </c>
      <c r="H49" s="5" t="inlineStr">
        <is>
          <t>合謙建設</t>
        </is>
      </c>
      <c r="I49" s="5" t="inlineStr">
        <is>
          <t>140戶</t>
        </is>
      </c>
      <c r="J49" s="5" t="inlineStr">
        <is>
          <t>25-36坪</t>
        </is>
      </c>
      <c r="K49" s="5" t="inlineStr">
        <is>
          <t>38.74萬/坪</t>
        </is>
      </c>
      <c r="L49" s="5" t="inlineStr">
        <is>
          <t>2026</t>
        </is>
      </c>
      <c r="M49" s="5" t="inlineStr">
        <is>
          <t>預售</t>
        </is>
      </c>
      <c r="N49" s="5" t="inlineStr">
        <is>
          <t>L3</t>
        </is>
      </c>
      <c r="O49" s="5" t="inlineStr">
        <is>
          <t>https://www.housefeel.com.tw/article/%E6%B7%A1%E6%B5%B7%E6%96%B0%E5%B8%82%E9%8E%AE-%E4%B8%80%E6%9C%9F-%E4%BA%8C%E6%9C%9F/</t>
        </is>
      </c>
    </row>
    <row r="50">
      <c r="A50" s="5" t="n">
        <v>49</v>
      </c>
      <c r="B50" s="5" t="inlineStr">
        <is>
          <t>新北市</t>
        </is>
      </c>
      <c r="C50" s="5" t="inlineStr">
        <is>
          <t>A21002</t>
        </is>
      </c>
      <c r="D50" s="5" t="inlineStr">
        <is>
          <t>new-taipei</t>
        </is>
      </c>
      <c r="E50" s="5" t="inlineStr">
        <is>
          <t>淡海新市鎮</t>
        </is>
      </c>
      <c r="F50" s="5" t="inlineStr">
        <is>
          <t>區段徵收</t>
        </is>
      </c>
      <c r="G50" s="5" t="inlineStr">
        <is>
          <t>鴻灃COMO</t>
        </is>
      </c>
      <c r="H50" s="5" t="inlineStr">
        <is>
          <t>鴻灃建設</t>
        </is>
      </c>
      <c r="I50" s="5" t="inlineStr">
        <is>
          <t>487戶</t>
        </is>
      </c>
      <c r="J50" s="5" t="inlineStr">
        <is>
          <t>22-40坪</t>
        </is>
      </c>
      <c r="K50" s="5" t="inlineStr">
        <is>
          <t>35.51萬/坪</t>
        </is>
      </c>
      <c r="L50" s="5" t="inlineStr">
        <is>
          <t>2026</t>
        </is>
      </c>
      <c r="M50" s="5" t="inlineStr">
        <is>
          <t>預售</t>
        </is>
      </c>
      <c r="N50" s="5" t="inlineStr">
        <is>
          <t>L3</t>
        </is>
      </c>
      <c r="O50" s="5" t="inlineStr">
        <is>
          <t>https://www.housefeel.com.tw/article/%E6%B7%A1%E6%B5%B7%E6%96%B0%E5%B8%82%E9%8E%AE-%E4%B8%80%E6%9C%9F-%E4%BA%8C%E6%9C%9F/</t>
        </is>
      </c>
    </row>
    <row r="51">
      <c r="A51" s="5" t="n">
        <v>50</v>
      </c>
      <c r="B51" s="5" t="inlineStr">
        <is>
          <t>新北市</t>
        </is>
      </c>
      <c r="C51" s="5" t="inlineStr">
        <is>
          <t>A21002</t>
        </is>
      </c>
      <c r="D51" s="5" t="inlineStr">
        <is>
          <t>new-taipei</t>
        </is>
      </c>
      <c r="E51" s="5" t="inlineStr">
        <is>
          <t>淡海新市鎮</t>
        </is>
      </c>
      <c r="F51" s="5" t="inlineStr">
        <is>
          <t>區段徵收</t>
        </is>
      </c>
      <c r="G51" s="5" t="inlineStr">
        <is>
          <t>京美晴朗</t>
        </is>
      </c>
      <c r="H51" s="5" t="inlineStr">
        <is>
          <t>京美建設</t>
        </is>
      </c>
      <c r="I51" s="5" t="inlineStr">
        <is>
          <t>104戶</t>
        </is>
      </c>
      <c r="J51" s="5" t="inlineStr">
        <is>
          <t>22-42坪</t>
        </is>
      </c>
      <c r="K51" s="5" t="inlineStr">
        <is>
          <t>33.95萬/坪</t>
        </is>
      </c>
      <c r="L51" s="5" t="inlineStr">
        <is>
          <t>2026</t>
        </is>
      </c>
      <c r="M51" s="5" t="inlineStr">
        <is>
          <t>預售</t>
        </is>
      </c>
      <c r="N51" s="5" t="inlineStr">
        <is>
          <t>L3</t>
        </is>
      </c>
      <c r="O51" s="5" t="inlineStr">
        <is>
          <t>https://www.housefeel.com.tw/article/%E6%B7%A1%E6%B5%B7%E6%96%B0%E5%B8%82%E9%8E%AE-%E4%B8%80%E6%9C%9F-%E4%BA%8C%E6%9C%9F/</t>
        </is>
      </c>
    </row>
    <row r="52">
      <c r="A52" s="5" t="n">
        <v>51</v>
      </c>
      <c r="B52" s="5" t="inlineStr">
        <is>
          <t>新北市</t>
        </is>
      </c>
      <c r="C52" s="5" t="inlineStr">
        <is>
          <t>A21002</t>
        </is>
      </c>
      <c r="D52" s="5" t="inlineStr">
        <is>
          <t>new-taipei</t>
        </is>
      </c>
      <c r="E52" s="5" t="inlineStr">
        <is>
          <t>淡海新市鎮</t>
        </is>
      </c>
      <c r="F52" s="5" t="inlineStr">
        <is>
          <t>區段徵收</t>
        </is>
      </c>
      <c r="G52" s="5" t="inlineStr">
        <is>
          <t>鼎禾琢渼</t>
        </is>
      </c>
      <c r="H52" s="5" t="inlineStr">
        <is>
          <t>鼎禾建設</t>
        </is>
      </c>
      <c r="I52" s="5" t="inlineStr">
        <is>
          <t>65戶</t>
        </is>
      </c>
      <c r="J52" s="5" t="inlineStr">
        <is>
          <t>23-75坪</t>
        </is>
      </c>
      <c r="K52" s="5" t="inlineStr"/>
      <c r="L52" s="5" t="inlineStr">
        <is>
          <t>2027</t>
        </is>
      </c>
      <c r="M52" s="5" t="inlineStr">
        <is>
          <t>預售</t>
        </is>
      </c>
      <c r="N52" s="5" t="inlineStr">
        <is>
          <t>L3</t>
        </is>
      </c>
      <c r="O52" s="5" t="inlineStr">
        <is>
          <t>https://www.housefeel.com.tw/article/%E6%B7%A1%E6%B5%B7%E6%96%B0%E5%B8%82%E9%8E%AE-%E4%B8%80%E6%9C%9F-%E4%BA%8C%E6%9C%9F/</t>
        </is>
      </c>
    </row>
    <row r="53">
      <c r="A53" s="5" t="n">
        <v>52</v>
      </c>
      <c r="B53" s="5" t="inlineStr">
        <is>
          <t>新北市</t>
        </is>
      </c>
      <c r="C53" s="5" t="inlineStr">
        <is>
          <t>A21002</t>
        </is>
      </c>
      <c r="D53" s="5" t="inlineStr">
        <is>
          <t>new-taipei</t>
        </is>
      </c>
      <c r="E53" s="5" t="inlineStr">
        <is>
          <t>淡海新市鎮</t>
        </is>
      </c>
      <c r="F53" s="5" t="inlineStr">
        <is>
          <t>區段徵收</t>
        </is>
      </c>
      <c r="G53" s="5" t="inlineStr">
        <is>
          <t>富麗ONE</t>
        </is>
      </c>
      <c r="H53" s="5" t="inlineStr">
        <is>
          <t>富麗建設</t>
        </is>
      </c>
      <c r="I53" s="5" t="inlineStr">
        <is>
          <t>138戶</t>
        </is>
      </c>
      <c r="J53" s="5" t="inlineStr">
        <is>
          <t>26-47坪</t>
        </is>
      </c>
      <c r="K53" s="5" t="inlineStr">
        <is>
          <t>35.83萬/坪</t>
        </is>
      </c>
      <c r="L53" s="5" t="inlineStr">
        <is>
          <t>2027</t>
        </is>
      </c>
      <c r="M53" s="5" t="inlineStr">
        <is>
          <t>預售</t>
        </is>
      </c>
      <c r="N53" s="5" t="inlineStr">
        <is>
          <t>L3</t>
        </is>
      </c>
      <c r="O53" s="5" t="inlineStr">
        <is>
          <t>https://www.housefeel.com.tw/article/%E6%B7%A1%E6%B5%B7%E6%96%B0%E5%B8%82%E9%8E%AE-%E4%B8%80%E6%9C%9F-%E4%BA%8C%E6%9C%9F/</t>
        </is>
      </c>
    </row>
    <row r="54">
      <c r="A54" s="5" t="n">
        <v>53</v>
      </c>
      <c r="B54" s="5" t="inlineStr">
        <is>
          <t>新北市</t>
        </is>
      </c>
      <c r="C54" s="5" t="inlineStr">
        <is>
          <t>A21002</t>
        </is>
      </c>
      <c r="D54" s="5" t="inlineStr">
        <is>
          <t>new-taipei</t>
        </is>
      </c>
      <c r="E54" s="5" t="inlineStr">
        <is>
          <t>淡海新市鎮</t>
        </is>
      </c>
      <c r="F54" s="5" t="inlineStr">
        <is>
          <t>區段徵收</t>
        </is>
      </c>
      <c r="G54" s="5" t="inlineStr">
        <is>
          <t>十得向陽</t>
        </is>
      </c>
      <c r="H54" s="5" t="inlineStr">
        <is>
          <t>十得建設</t>
        </is>
      </c>
      <c r="I54" s="5" t="inlineStr">
        <is>
          <t>41戶</t>
        </is>
      </c>
      <c r="J54" s="5" t="inlineStr">
        <is>
          <t>28-36坪</t>
        </is>
      </c>
      <c r="K54" s="5" t="inlineStr">
        <is>
          <t>41.81萬/坪</t>
        </is>
      </c>
      <c r="L54" s="5" t="inlineStr">
        <is>
          <t>2028</t>
        </is>
      </c>
      <c r="M54" s="5" t="inlineStr">
        <is>
          <t>預售</t>
        </is>
      </c>
      <c r="N54" s="5" t="inlineStr">
        <is>
          <t>L3</t>
        </is>
      </c>
      <c r="O54" s="5" t="inlineStr">
        <is>
          <t>https://www.housefeel.com.tw/article/%E6%B7%A1%E6%B5%B7%E6%96%B0%E5%B8%82%E9%8E%AE-%E4%B8%80%E6%9C%9F-%E4%BA%8C%E6%9C%9F/</t>
        </is>
      </c>
    </row>
    <row r="55">
      <c r="A55" s="5" t="n">
        <v>54</v>
      </c>
      <c r="B55" s="5" t="inlineStr">
        <is>
          <t>新北市</t>
        </is>
      </c>
      <c r="C55" s="5" t="inlineStr">
        <is>
          <t>A21002</t>
        </is>
      </c>
      <c r="D55" s="5" t="inlineStr">
        <is>
          <t>new-taipei</t>
        </is>
      </c>
      <c r="E55" s="5" t="inlineStr">
        <is>
          <t>淡海新市鎮</t>
        </is>
      </c>
      <c r="F55" s="5" t="inlineStr">
        <is>
          <t>區段徵收</t>
        </is>
      </c>
      <c r="G55" s="5" t="inlineStr">
        <is>
          <t>合謙劃時代</t>
        </is>
      </c>
      <c r="H55" s="5" t="inlineStr">
        <is>
          <t>合謙建設</t>
        </is>
      </c>
      <c r="I55" s="5" t="inlineStr">
        <is>
          <t>271戶</t>
        </is>
      </c>
      <c r="J55" s="5" t="inlineStr">
        <is>
          <t>24-40坪</t>
        </is>
      </c>
      <c r="K55" s="5" t="inlineStr">
        <is>
          <t>40.32萬/坪</t>
        </is>
      </c>
      <c r="L55" s="5" t="inlineStr">
        <is>
          <t>2028</t>
        </is>
      </c>
      <c r="M55" s="5" t="inlineStr">
        <is>
          <t>預售</t>
        </is>
      </c>
      <c r="N55" s="5" t="inlineStr">
        <is>
          <t>L3</t>
        </is>
      </c>
      <c r="O55" s="5" t="inlineStr">
        <is>
          <t>https://www.housefeel.com.tw/article/%E6%B7%A1%E6%B5%B7%E6%96%B0%E5%B8%82%E9%8E%AE-%E4%B8%80%E6%9C%9F-%E4%BA%8C%E6%9C%9F/</t>
        </is>
      </c>
    </row>
    <row r="56">
      <c r="A56" s="5" t="n">
        <v>55</v>
      </c>
      <c r="B56" s="5" t="inlineStr">
        <is>
          <t>新北市</t>
        </is>
      </c>
      <c r="C56" s="5" t="inlineStr">
        <is>
          <t>A21002</t>
        </is>
      </c>
      <c r="D56" s="5" t="inlineStr">
        <is>
          <t>new-taipei</t>
        </is>
      </c>
      <c r="E56" s="5" t="inlineStr">
        <is>
          <t>淡海新市鎮</t>
        </is>
      </c>
      <c r="F56" s="5" t="inlineStr">
        <is>
          <t>區段徵收</t>
        </is>
      </c>
      <c r="G56" s="5" t="inlineStr">
        <is>
          <t>新海城</t>
        </is>
      </c>
      <c r="H56" s="5" t="inlineStr"/>
      <c r="I56" s="5" t="inlineStr">
        <is>
          <t>2231戶</t>
        </is>
      </c>
      <c r="J56" s="5" t="inlineStr">
        <is>
          <t>21-35坪</t>
        </is>
      </c>
      <c r="K56" s="5" t="inlineStr">
        <is>
          <t>65.33萬/坪</t>
        </is>
      </c>
      <c r="L56" s="5" t="inlineStr">
        <is>
          <t>2028</t>
        </is>
      </c>
      <c r="M56" s="5" t="inlineStr">
        <is>
          <t>預售</t>
        </is>
      </c>
      <c r="N56" s="5" t="inlineStr">
        <is>
          <t>L3</t>
        </is>
      </c>
      <c r="O56" s="5" t="inlineStr">
        <is>
          <t>https://www.housefeel.com.tw/article/%E6%B7%A1%E6%B5%B7%E6%96%B0%E5%B8%82%E9%8E%AE-%E4%B8%80%E6%9C%9F-%E4%BA%8C%E6%9C%9F/</t>
        </is>
      </c>
    </row>
    <row r="57">
      <c r="A57" s="5" t="n">
        <v>56</v>
      </c>
      <c r="B57" s="5" t="inlineStr">
        <is>
          <t>新北市</t>
        </is>
      </c>
      <c r="C57" s="5" t="inlineStr">
        <is>
          <t>A21002</t>
        </is>
      </c>
      <c r="D57" s="5" t="inlineStr">
        <is>
          <t>new-taipei</t>
        </is>
      </c>
      <c r="E57" s="5" t="inlineStr">
        <is>
          <t>淡海新市鎮</t>
        </is>
      </c>
      <c r="F57" s="5" t="inlineStr">
        <is>
          <t>區段徵收</t>
        </is>
      </c>
      <c r="G57" s="5" t="inlineStr">
        <is>
          <t>致茂橋豐</t>
        </is>
      </c>
      <c r="H57" s="5" t="inlineStr">
        <is>
          <t>致茂建設</t>
        </is>
      </c>
      <c r="I57" s="5" t="inlineStr">
        <is>
          <t>113戶</t>
        </is>
      </c>
      <c r="J57" s="5" t="inlineStr">
        <is>
          <t>24-36坪</t>
        </is>
      </c>
      <c r="K57" s="5" t="inlineStr">
        <is>
          <t>37.27萬/坪</t>
        </is>
      </c>
      <c r="L57" s="5" t="inlineStr">
        <is>
          <t>2029</t>
        </is>
      </c>
      <c r="M57" s="5" t="inlineStr">
        <is>
          <t>預售</t>
        </is>
      </c>
      <c r="N57" s="5" t="inlineStr">
        <is>
          <t>L3</t>
        </is>
      </c>
      <c r="O57" s="5" t="inlineStr">
        <is>
          <t>https://www.housefeel.com.tw/article/%E6%B7%A1%E6%B5%B7%E6%96%B0%E5%B8%82%E9%8E%AE-%E4%B8%80%E6%9C%9F-%E4%BA%8C%E6%9C%9F/</t>
        </is>
      </c>
    </row>
    <row r="58">
      <c r="A58" s="5" t="n">
        <v>57</v>
      </c>
      <c r="B58" s="5" t="inlineStr">
        <is>
          <t>新北市</t>
        </is>
      </c>
      <c r="C58" s="5" t="inlineStr">
        <is>
          <t>A21002</t>
        </is>
      </c>
      <c r="D58" s="5" t="inlineStr">
        <is>
          <t>new-taipei</t>
        </is>
      </c>
      <c r="E58" s="5" t="inlineStr">
        <is>
          <t>淡海新市鎮</t>
        </is>
      </c>
      <c r="F58" s="5" t="inlineStr">
        <is>
          <t>區段徵收</t>
        </is>
      </c>
      <c r="G58" s="5" t="inlineStr">
        <is>
          <t>佳瑞向上</t>
        </is>
      </c>
      <c r="H58" s="5" t="inlineStr">
        <is>
          <t>佳瑞建設</t>
        </is>
      </c>
      <c r="I58" s="5" t="inlineStr">
        <is>
          <t>166戶</t>
        </is>
      </c>
      <c r="J58" s="5" t="inlineStr">
        <is>
          <t>37坪</t>
        </is>
      </c>
      <c r="K58" s="5" t="inlineStr">
        <is>
          <t>36.2萬/坪</t>
        </is>
      </c>
      <c r="L58" s="5" t="inlineStr"/>
      <c r="M58" s="5" t="inlineStr">
        <is>
          <t>交屋中</t>
        </is>
      </c>
      <c r="N58" s="5" t="inlineStr">
        <is>
          <t>L3</t>
        </is>
      </c>
      <c r="O58" s="5" t="inlineStr">
        <is>
          <t>https://www.housefeel.com.tw/article/%E6%B7%A1%E6%B5%B7%E6%96%B0%E5%B8%82%E9%8E%AE-%E4%B8%80%E6%9C%9F-%E4%BA%8C%E6%9C%9F/</t>
        </is>
      </c>
    </row>
    <row r="59">
      <c r="A59" s="5" t="n">
        <v>58</v>
      </c>
      <c r="B59" s="5" t="inlineStr">
        <is>
          <t>新北市</t>
        </is>
      </c>
      <c r="C59" s="5" t="inlineStr">
        <is>
          <t>A21002</t>
        </is>
      </c>
      <c r="D59" s="5" t="inlineStr">
        <is>
          <t>new-taipei</t>
        </is>
      </c>
      <c r="E59" s="5" t="inlineStr">
        <is>
          <t>淡海新市鎮</t>
        </is>
      </c>
      <c r="F59" s="5" t="inlineStr">
        <is>
          <t>區段徵收</t>
        </is>
      </c>
      <c r="G59" s="5" t="inlineStr">
        <is>
          <t>鉅陞ONE</t>
        </is>
      </c>
      <c r="H59" s="5" t="inlineStr">
        <is>
          <t>鉅陞建設</t>
        </is>
      </c>
      <c r="I59" s="5" t="inlineStr">
        <is>
          <t>532戶</t>
        </is>
      </c>
      <c r="J59" s="5" t="inlineStr">
        <is>
          <t>22-46坪</t>
        </is>
      </c>
      <c r="K59" s="5" t="inlineStr">
        <is>
          <t>41.93萬/坪</t>
        </is>
      </c>
      <c r="L59" s="5" t="inlineStr"/>
      <c r="M59" s="5" t="inlineStr">
        <is>
          <t>交屋中</t>
        </is>
      </c>
      <c r="N59" s="5" t="inlineStr">
        <is>
          <t>L3</t>
        </is>
      </c>
      <c r="O59" s="5" t="inlineStr">
        <is>
          <t>https://www.housefeel.com.tw/article/%E6%B7%A1%E6%B5%B7%E6%96%B0%E5%B8%82%E9%8E%AE-%E4%B8%80%E6%9C%9F-%E4%BA%8C%E6%9C%9F/</t>
        </is>
      </c>
    </row>
    <row r="60">
      <c r="A60" s="5" t="n">
        <v>59</v>
      </c>
      <c r="B60" s="5" t="inlineStr">
        <is>
          <t>新北市</t>
        </is>
      </c>
      <c r="C60" s="5" t="inlineStr">
        <is>
          <t>A21002</t>
        </is>
      </c>
      <c r="D60" s="5" t="inlineStr">
        <is>
          <t>new-taipei</t>
        </is>
      </c>
      <c r="E60" s="5" t="inlineStr">
        <is>
          <t>淡海新市鎮</t>
        </is>
      </c>
      <c r="F60" s="5" t="inlineStr">
        <is>
          <t>區段徵收</t>
        </is>
      </c>
      <c r="G60" s="5" t="inlineStr">
        <is>
          <t>新潤心苑</t>
        </is>
      </c>
      <c r="H60" s="5" t="inlineStr">
        <is>
          <t>新潤建設</t>
        </is>
      </c>
      <c r="I60" s="5" t="inlineStr">
        <is>
          <t>98戶</t>
        </is>
      </c>
      <c r="J60" s="5" t="inlineStr">
        <is>
          <t>22-36坪</t>
        </is>
      </c>
      <c r="K60" s="5" t="inlineStr">
        <is>
          <t>32.17萬/坪</t>
        </is>
      </c>
      <c r="L60" s="5" t="inlineStr"/>
      <c r="M60" s="5" t="inlineStr">
        <is>
          <t>已完工</t>
        </is>
      </c>
      <c r="N60" s="5" t="inlineStr">
        <is>
          <t>L3</t>
        </is>
      </c>
      <c r="O60" s="5" t="inlineStr">
        <is>
          <t>https://www.housefeel.com.tw/article/%E6%B7%A1%E6%B5%B7%E6%96%B0%E5%B8%82%E9%8E%AE-%E4%B8%80%E6%9C%9F-%E4%BA%8C%E6%9C%9F/</t>
        </is>
      </c>
    </row>
    <row r="61">
      <c r="A61" s="5" t="n">
        <v>60</v>
      </c>
      <c r="B61" s="5" t="inlineStr">
        <is>
          <t>新北市</t>
        </is>
      </c>
      <c r="C61" s="5" t="inlineStr">
        <is>
          <t>A21002</t>
        </is>
      </c>
      <c r="D61" s="5" t="inlineStr">
        <is>
          <t>new-taipei</t>
        </is>
      </c>
      <c r="E61" s="5" t="inlineStr">
        <is>
          <t>淡海新市鎮</t>
        </is>
      </c>
      <c r="F61" s="5" t="inlineStr">
        <is>
          <t>區段徵收</t>
        </is>
      </c>
      <c r="G61" s="5" t="inlineStr">
        <is>
          <t>名軒海樂地</t>
        </is>
      </c>
      <c r="H61" s="5" t="inlineStr">
        <is>
          <t>名軒開發</t>
        </is>
      </c>
      <c r="I61" s="5" t="inlineStr">
        <is>
          <t>1912戶</t>
        </is>
      </c>
      <c r="J61" s="5" t="inlineStr">
        <is>
          <t>24-42坪</t>
        </is>
      </c>
      <c r="K61" s="5" t="inlineStr">
        <is>
          <t>34.36萬/坪</t>
        </is>
      </c>
      <c r="L61" s="5" t="inlineStr"/>
      <c r="M61" s="5" t="inlineStr">
        <is>
          <t>已完工</t>
        </is>
      </c>
      <c r="N61" s="5" t="inlineStr">
        <is>
          <t>L3</t>
        </is>
      </c>
      <c r="O61" s="5" t="inlineStr">
        <is>
          <t>https://www.housefeel.com.tw/article/%E6%B7%A1%E6%B5%B7%E6%96%B0%E5%B8%82%E9%8E%AE-%E4%B8%80%E6%9C%9F-%E4%BA%8C%E6%9C%9F/</t>
        </is>
      </c>
    </row>
    <row r="62">
      <c r="A62" s="5" t="n">
        <v>61</v>
      </c>
      <c r="B62" s="5" t="inlineStr">
        <is>
          <t>新北市</t>
        </is>
      </c>
      <c r="C62" s="5" t="inlineStr">
        <is>
          <t>A21002</t>
        </is>
      </c>
      <c r="D62" s="5" t="inlineStr">
        <is>
          <t>new-taipei</t>
        </is>
      </c>
      <c r="E62" s="5" t="inlineStr">
        <is>
          <t>淡海新市鎮</t>
        </is>
      </c>
      <c r="F62" s="5" t="inlineStr">
        <is>
          <t>區段徵收</t>
        </is>
      </c>
      <c r="G62" s="5" t="inlineStr">
        <is>
          <t>宏盛水悅</t>
        </is>
      </c>
      <c r="H62" s="5" t="inlineStr">
        <is>
          <t>宏盛建設</t>
        </is>
      </c>
      <c r="I62" s="5" t="inlineStr">
        <is>
          <t>991戶</t>
        </is>
      </c>
      <c r="J62" s="5" t="inlineStr">
        <is>
          <t>18-46坪</t>
        </is>
      </c>
      <c r="K62" s="5" t="inlineStr">
        <is>
          <t>31.23萬/坪</t>
        </is>
      </c>
      <c r="L62" s="5" t="inlineStr"/>
      <c r="M62" s="5" t="inlineStr">
        <is>
          <t>已完工</t>
        </is>
      </c>
      <c r="N62" s="5" t="inlineStr">
        <is>
          <t>L3</t>
        </is>
      </c>
      <c r="O62" s="5" t="inlineStr">
        <is>
          <t>https://www.housefeel.com.tw/article/%E6%B7%A1%E6%B5%B7%E6%96%B0%E5%B8%82%E9%8E%AE-%E4%B8%80%E6%9C%9F-%E4%BA%8C%E6%9C%9F/</t>
        </is>
      </c>
    </row>
    <row r="63">
      <c r="A63" s="5" t="n">
        <v>62</v>
      </c>
      <c r="B63" s="5" t="inlineStr">
        <is>
          <t>新北市</t>
        </is>
      </c>
      <c r="C63" s="5" t="inlineStr">
        <is>
          <t>A21002</t>
        </is>
      </c>
      <c r="D63" s="5" t="inlineStr">
        <is>
          <t>new-taipei</t>
        </is>
      </c>
      <c r="E63" s="5" t="inlineStr">
        <is>
          <t>淡海新市鎮</t>
        </is>
      </c>
      <c r="F63" s="5" t="inlineStr">
        <is>
          <t>區段徵收</t>
        </is>
      </c>
      <c r="G63" s="5" t="inlineStr">
        <is>
          <t>宏盛海都</t>
        </is>
      </c>
      <c r="H63" s="5" t="inlineStr">
        <is>
          <t>宏盛建設</t>
        </is>
      </c>
      <c r="I63" s="5" t="inlineStr">
        <is>
          <t>1659戶</t>
        </is>
      </c>
      <c r="J63" s="5" t="inlineStr">
        <is>
          <t>26-39坪</t>
        </is>
      </c>
      <c r="K63" s="5" t="inlineStr">
        <is>
          <t>26.99萬/坪</t>
        </is>
      </c>
      <c r="L63" s="5" t="inlineStr"/>
      <c r="M63" s="5" t="inlineStr">
        <is>
          <t>已完工</t>
        </is>
      </c>
      <c r="N63" s="5" t="inlineStr">
        <is>
          <t>L3</t>
        </is>
      </c>
      <c r="O63" s="5" t="inlineStr">
        <is>
          <t>https://www.housefeel.com.tw/article/%E6%B7%A1%E6%B5%B7%E6%96%B0%E5%B8%82%E9%8E%AE-%E4%B8%80%E6%9C%9F-%E4%BA%8C%E6%9C%9F/</t>
        </is>
      </c>
    </row>
    <row r="64">
      <c r="A64" s="5" t="n">
        <v>63</v>
      </c>
      <c r="B64" s="5" t="inlineStr">
        <is>
          <t>新北市</t>
        </is>
      </c>
      <c r="C64" s="5" t="inlineStr">
        <is>
          <t>A21002</t>
        </is>
      </c>
      <c r="D64" s="5" t="inlineStr">
        <is>
          <t>new-taipei</t>
        </is>
      </c>
      <c r="E64" s="5" t="inlineStr">
        <is>
          <t>淡海新市鎮</t>
        </is>
      </c>
      <c r="F64" s="5" t="inlineStr">
        <is>
          <t>區段徵收</t>
        </is>
      </c>
      <c r="G64" s="5" t="inlineStr">
        <is>
          <t>吉美雲品</t>
        </is>
      </c>
      <c r="H64" s="5" t="inlineStr">
        <is>
          <t>吉美建設</t>
        </is>
      </c>
      <c r="I64" s="5" t="inlineStr">
        <is>
          <t>159戶</t>
        </is>
      </c>
      <c r="J64" s="5" t="inlineStr">
        <is>
          <t>37-44坪</t>
        </is>
      </c>
      <c r="K64" s="5" t="inlineStr"/>
      <c r="L64" s="5" t="inlineStr"/>
      <c r="M64" s="5" t="inlineStr">
        <is>
          <t>已完工</t>
        </is>
      </c>
      <c r="N64" s="5" t="inlineStr">
        <is>
          <t>L3</t>
        </is>
      </c>
      <c r="O64" s="5" t="inlineStr">
        <is>
          <t>https://www.housefeel.com.tw/article/%E6%B7%A1%E6%B5%B7%E6%96%B0%E5%B8%82%E9%8E%AE-%E4%B8%80%E6%9C%9F-%E4%BA%8C%E6%9C%9F/</t>
        </is>
      </c>
    </row>
    <row r="65">
      <c r="A65" s="5" t="n">
        <v>64</v>
      </c>
      <c r="B65" s="5" t="inlineStr">
        <is>
          <t>新北市</t>
        </is>
      </c>
      <c r="C65" s="5" t="inlineStr">
        <is>
          <t>A21002</t>
        </is>
      </c>
      <c r="D65" s="5" t="inlineStr">
        <is>
          <t>new-taipei</t>
        </is>
      </c>
      <c r="E65" s="5" t="inlineStr">
        <is>
          <t>淡海新市鎮</t>
        </is>
      </c>
      <c r="F65" s="5" t="inlineStr">
        <is>
          <t>區段徵收</t>
        </is>
      </c>
      <c r="G65" s="5" t="inlineStr">
        <is>
          <t>宏普樂高</t>
        </is>
      </c>
      <c r="H65" s="5" t="inlineStr">
        <is>
          <t>宏普建設</t>
        </is>
      </c>
      <c r="I65" s="5" t="inlineStr">
        <is>
          <t>356戶</t>
        </is>
      </c>
      <c r="J65" s="5" t="inlineStr">
        <is>
          <t>21-32坪</t>
        </is>
      </c>
      <c r="K65" s="5" t="inlineStr">
        <is>
          <t>26.59萬/坪</t>
        </is>
      </c>
      <c r="L65" s="5" t="inlineStr"/>
      <c r="M65" s="5" t="inlineStr">
        <is>
          <t>已完工</t>
        </is>
      </c>
      <c r="N65" s="5" t="inlineStr">
        <is>
          <t>L3</t>
        </is>
      </c>
      <c r="O65" s="5" t="inlineStr">
        <is>
          <t>https://www.housefeel.com.tw/article/%E6%B7%A1%E6%B5%B7%E6%96%B0%E5%B8%82%E9%8E%AE-%E4%B8%80%E6%9C%9F-%E4%BA%8C%E6%9C%9F/</t>
        </is>
      </c>
    </row>
    <row r="66">
      <c r="A66" s="5" t="n">
        <v>65</v>
      </c>
      <c r="B66" s="5" t="inlineStr">
        <is>
          <t>新北市</t>
        </is>
      </c>
      <c r="C66" s="5" t="inlineStr">
        <is>
          <t>A21002</t>
        </is>
      </c>
      <c r="D66" s="5" t="inlineStr">
        <is>
          <t>new-taipei</t>
        </is>
      </c>
      <c r="E66" s="5" t="inlineStr">
        <is>
          <t>淡海新市鎮</t>
        </is>
      </c>
      <c r="F66" s="5" t="inlineStr">
        <is>
          <t>區段徵收</t>
        </is>
      </c>
      <c r="G66" s="5" t="inlineStr">
        <is>
          <t>新潤峰采海灣區</t>
        </is>
      </c>
      <c r="H66" s="5" t="inlineStr">
        <is>
          <t>新潤建設</t>
        </is>
      </c>
      <c r="I66" s="5" t="inlineStr">
        <is>
          <t>68戶</t>
        </is>
      </c>
      <c r="J66" s="5" t="inlineStr">
        <is>
          <t>22-48坪</t>
        </is>
      </c>
      <c r="K66" s="5" t="inlineStr">
        <is>
          <t>27.65萬/坪</t>
        </is>
      </c>
      <c r="L66" s="5" t="inlineStr"/>
      <c r="M66" s="5" t="inlineStr">
        <is>
          <t>已完工</t>
        </is>
      </c>
      <c r="N66" s="5" t="inlineStr">
        <is>
          <t>L3</t>
        </is>
      </c>
      <c r="O66" s="5" t="inlineStr">
        <is>
          <t>https://www.housefeel.com.tw/article/%E6%B7%A1%E6%B5%B7%E6%96%B0%E5%B8%82%E9%8E%AE-%E4%B8%80%E6%9C%9F-%E4%BA%8C%E6%9C%9F/</t>
        </is>
      </c>
    </row>
    <row r="67">
      <c r="A67" s="5" t="n">
        <v>66</v>
      </c>
      <c r="B67" s="5" t="inlineStr">
        <is>
          <t>新北市</t>
        </is>
      </c>
      <c r="C67" s="5" t="inlineStr">
        <is>
          <t>A21002</t>
        </is>
      </c>
      <c r="D67" s="5" t="inlineStr">
        <is>
          <t>new-taipei</t>
        </is>
      </c>
      <c r="E67" s="5" t="inlineStr">
        <is>
          <t>淡海新市鎮</t>
        </is>
      </c>
      <c r="F67" s="5" t="inlineStr">
        <is>
          <t>區段徵收</t>
        </is>
      </c>
      <c r="G67" s="5" t="inlineStr">
        <is>
          <t>捷運悅境</t>
        </is>
      </c>
      <c r="H67" s="5" t="inlineStr"/>
      <c r="I67" s="5" t="inlineStr">
        <is>
          <t>313戶</t>
        </is>
      </c>
      <c r="J67" s="5" t="inlineStr"/>
      <c r="K67" s="5" t="inlineStr">
        <is>
          <t>31.8萬/坪</t>
        </is>
      </c>
      <c r="L67" s="5" t="inlineStr"/>
      <c r="M67" s="5" t="inlineStr">
        <is>
          <t>已完工</t>
        </is>
      </c>
      <c r="N67" s="5" t="inlineStr">
        <is>
          <t>L3</t>
        </is>
      </c>
      <c r="O67" s="5" t="inlineStr">
        <is>
          <t>https://www.housefeel.com.tw/article/%E6%B7%A1%E6%B5%B7%E6%96%B0%E5%B8%82%E9%8E%AE-%E4%B8%80%E6%9C%9F-%E4%BA%8C%E6%9C%9F/</t>
        </is>
      </c>
    </row>
    <row r="68">
      <c r="A68" s="5" t="n">
        <v>67</v>
      </c>
      <c r="B68" s="5" t="inlineStr">
        <is>
          <t>新北市</t>
        </is>
      </c>
      <c r="C68" s="5" t="inlineStr">
        <is>
          <t>A21002</t>
        </is>
      </c>
      <c r="D68" s="5" t="inlineStr">
        <is>
          <t>new-taipei</t>
        </is>
      </c>
      <c r="E68" s="5" t="inlineStr">
        <is>
          <t>二重疏洪道區段徵收</t>
        </is>
      </c>
      <c r="F68" s="5" t="inlineStr">
        <is>
          <t>區段徵收</t>
        </is>
      </c>
      <c r="G68" s="5" t="inlineStr">
        <is>
          <t>甲山林市政帝景</t>
        </is>
      </c>
      <c r="H68" s="5" t="inlineStr">
        <is>
          <t>甲山林建設</t>
        </is>
      </c>
      <c r="I68" s="5" t="inlineStr"/>
      <c r="J68" s="5" t="inlineStr">
        <is>
          <t>20-30坪</t>
        </is>
      </c>
      <c r="K68" s="5" t="inlineStr">
        <is>
          <t>63-78萬/坪</t>
        </is>
      </c>
      <c r="L68" s="5" t="inlineStr">
        <is>
          <t>2030</t>
        </is>
      </c>
      <c r="M68" s="5" t="inlineStr">
        <is>
          <t>預售</t>
        </is>
      </c>
      <c r="N68" s="5" t="inlineStr">
        <is>
          <t>L3</t>
        </is>
      </c>
      <c r="O68" s="5" t="inlineStr">
        <is>
          <t>https://www.plex.com.tw/projects/view/id/9142</t>
        </is>
      </c>
    </row>
    <row r="69">
      <c r="A69" s="5" t="n">
        <v>68</v>
      </c>
      <c r="B69" s="5" t="inlineStr">
        <is>
          <t>新北市</t>
        </is>
      </c>
      <c r="C69" s="5" t="inlineStr">
        <is>
          <t>A21002</t>
        </is>
      </c>
      <c r="D69" s="5" t="inlineStr">
        <is>
          <t>new-taipei</t>
        </is>
      </c>
      <c r="E69" s="5" t="inlineStr">
        <is>
          <t>二重疏洪道區段徵收</t>
        </is>
      </c>
      <c r="F69" s="5" t="inlineStr">
        <is>
          <t>區段徵收</t>
        </is>
      </c>
      <c r="G69" s="5" t="inlineStr">
        <is>
          <t>市政官邸3號</t>
        </is>
      </c>
      <c r="H69" s="5" t="inlineStr"/>
      <c r="I69" s="5" t="inlineStr"/>
      <c r="J69" s="5" t="inlineStr"/>
      <c r="K69" s="5" t="inlineStr"/>
      <c r="L69" s="5" t="inlineStr"/>
      <c r="M69" s="5" t="inlineStr">
        <is>
          <t>已完工</t>
        </is>
      </c>
      <c r="N69" s="5" t="inlineStr">
        <is>
          <t>L3</t>
        </is>
      </c>
      <c r="O69" s="5" t="inlineStr">
        <is>
          <t>https://www.housefeel.com.tw/housing-project/new-taipei-city/%E5%B8%82%E6%94%BF%E5%AE%98%E9%82%B83%E8%99%9F/</t>
        </is>
      </c>
    </row>
    <row r="70">
      <c r="A70" s="5" t="n">
        <v>69</v>
      </c>
      <c r="B70" s="5" t="inlineStr">
        <is>
          <t>新北市</t>
        </is>
      </c>
      <c r="C70" s="5" t="inlineStr">
        <is>
          <t>A21002</t>
        </is>
      </c>
      <c r="D70" s="5" t="inlineStr">
        <is>
          <t>new-taipei</t>
        </is>
      </c>
      <c r="E70" s="5" t="inlineStr">
        <is>
          <t>板橋舊市區公辦都更</t>
        </is>
      </c>
      <c r="F70" s="5" t="inlineStr">
        <is>
          <t>都市更新</t>
        </is>
      </c>
      <c r="G70" s="5" t="inlineStr">
        <is>
          <t>府中雙城(冠德都更)</t>
        </is>
      </c>
      <c r="H70" s="5" t="inlineStr">
        <is>
          <t>冠德建設</t>
        </is>
      </c>
      <c r="I70" s="5" t="inlineStr"/>
      <c r="J70" s="5" t="inlineStr"/>
      <c r="K70" s="5" t="inlineStr"/>
      <c r="L70" s="5" t="inlineStr">
        <is>
          <t>2024</t>
        </is>
      </c>
      <c r="M70" s="5" t="inlineStr">
        <is>
          <t>已完工</t>
        </is>
      </c>
      <c r="N70" s="5" t="inlineStr">
        <is>
          <t>L1</t>
        </is>
      </c>
      <c r="O70" s="5" t="inlineStr">
        <is>
          <t>https://wedid.ntpc.gov.tw/Governance/Detail/n4DwlWxXv0BE</t>
        </is>
      </c>
    </row>
    <row r="71">
      <c r="A71" s="5" t="n">
        <v>70</v>
      </c>
      <c r="B71" s="5" t="inlineStr">
        <is>
          <t>新北市</t>
        </is>
      </c>
      <c r="C71" s="5" t="inlineStr">
        <is>
          <t>A21002</t>
        </is>
      </c>
      <c r="D71" s="5" t="inlineStr">
        <is>
          <t>new-taipei</t>
        </is>
      </c>
      <c r="E71" s="5" t="inlineStr">
        <is>
          <t>板橋舊市區公辦都更</t>
        </is>
      </c>
      <c r="F71" s="5" t="inlineStr">
        <is>
          <t>都市更新</t>
        </is>
      </c>
      <c r="G71" s="5" t="inlineStr">
        <is>
          <t>皇翔介壽段都更案</t>
        </is>
      </c>
      <c r="H71" s="5" t="inlineStr">
        <is>
          <t>皇翔建設</t>
        </is>
      </c>
      <c r="I71" s="5" t="inlineStr"/>
      <c r="J71" s="5" t="inlineStr"/>
      <c r="K71" s="5" t="inlineStr"/>
      <c r="L71" s="5" t="inlineStr"/>
      <c r="M71" s="5" t="inlineStr">
        <is>
          <t>興建中</t>
        </is>
      </c>
      <c r="N71" s="5" t="inlineStr">
        <is>
          <t>L1</t>
        </is>
      </c>
      <c r="O71" s="5" t="inlineStr">
        <is>
          <t>https://wedid.ntpc.gov.tw/Governance/Detail/1RBlNQ2eLJgY</t>
        </is>
      </c>
    </row>
    <row r="72">
      <c r="A72" s="5" t="n">
        <v>71</v>
      </c>
      <c r="B72" s="5" t="inlineStr">
        <is>
          <t>新北市</t>
        </is>
      </c>
      <c r="C72" s="5" t="inlineStr">
        <is>
          <t>A21002</t>
        </is>
      </c>
      <c r="D72" s="5" t="inlineStr">
        <is>
          <t>new-taipei</t>
        </is>
      </c>
      <c r="E72" s="5" t="inlineStr">
        <is>
          <t>板橋舊市區公辦都更</t>
        </is>
      </c>
      <c r="F72" s="5" t="inlineStr">
        <is>
          <t>都市更新</t>
        </is>
      </c>
      <c r="G72" s="5" t="inlineStr">
        <is>
          <t>板橋富豪社區自主都更案</t>
        </is>
      </c>
      <c r="H72" s="5" t="inlineStr"/>
      <c r="I72" s="5" t="inlineStr">
        <is>
          <t>68戶(原社區)</t>
        </is>
      </c>
      <c r="J72" s="5" t="inlineStr"/>
      <c r="K72" s="5" t="inlineStr"/>
      <c r="L72" s="5" t="inlineStr"/>
      <c r="M72" s="5" t="inlineStr">
        <is>
          <t>興建中</t>
        </is>
      </c>
      <c r="N72" s="5" t="inlineStr">
        <is>
          <t>L1</t>
        </is>
      </c>
      <c r="O72" s="5" t="inlineStr">
        <is>
          <t>https://www.uro.ntpc.gov.tw/News/Detail/110f1a5c-09d9-4943-84a3-91777b791129</t>
        </is>
      </c>
    </row>
    <row r="73">
      <c r="A73" s="5" t="n">
        <v>72</v>
      </c>
      <c r="B73" s="5" t="inlineStr">
        <is>
          <t>桃園市</t>
        </is>
      </c>
      <c r="C73" s="5" t="inlineStr">
        <is>
          <t>A21003</t>
        </is>
      </c>
      <c r="D73" s="5" t="inlineStr">
        <is>
          <t>taoyuan</t>
        </is>
      </c>
      <c r="E73" s="5" t="inlineStr">
        <is>
          <t>八德擴大重劃</t>
        </is>
      </c>
      <c r="F73" s="5" t="inlineStr">
        <is>
          <t>公辦市地重劃</t>
        </is>
      </c>
      <c r="G73" s="5" t="inlineStr">
        <is>
          <t>益騏豐盛御境</t>
        </is>
      </c>
      <c r="H73" s="5" t="inlineStr">
        <is>
          <t>益騏建設</t>
        </is>
      </c>
      <c r="I73" s="5" t="inlineStr">
        <is>
          <t>349戶</t>
        </is>
      </c>
      <c r="J73" s="5" t="inlineStr">
        <is>
          <t>23-45坪</t>
        </is>
      </c>
      <c r="K73" s="5" t="inlineStr"/>
      <c r="L73" s="5" t="inlineStr"/>
      <c r="M73" s="5" t="inlineStr">
        <is>
          <t>預售</t>
        </is>
      </c>
      <c r="N73" s="5" t="inlineStr">
        <is>
          <t>L3</t>
        </is>
      </c>
      <c r="O73" s="5" t="inlineStr">
        <is>
          <t>https://www.leju.com.tw/community_list?area=H334&amp;city=H&amp;is_new=1&amp;sid=11241</t>
        </is>
      </c>
    </row>
    <row r="74">
      <c r="A74" s="5" t="n">
        <v>73</v>
      </c>
      <c r="B74" s="5" t="inlineStr">
        <is>
          <t>桃園市</t>
        </is>
      </c>
      <c r="C74" s="5" t="inlineStr">
        <is>
          <t>A21003</t>
        </is>
      </c>
      <c r="D74" s="5" t="inlineStr">
        <is>
          <t>taoyuan</t>
        </is>
      </c>
      <c r="E74" s="5" t="inlineStr">
        <is>
          <t>八德擴大重劃</t>
        </is>
      </c>
      <c r="F74" s="5" t="inlineStr">
        <is>
          <t>公辦市地重劃</t>
        </is>
      </c>
      <c r="G74" s="5" t="inlineStr">
        <is>
          <t>群邑璟美</t>
        </is>
      </c>
      <c r="H74" s="5" t="inlineStr">
        <is>
          <t>群邑建設</t>
        </is>
      </c>
      <c r="I74" s="5" t="inlineStr">
        <is>
          <t>48戶</t>
        </is>
      </c>
      <c r="J74" s="5" t="inlineStr">
        <is>
          <t>24-36坪</t>
        </is>
      </c>
      <c r="K74" s="5" t="inlineStr">
        <is>
          <t>45-47萬/坪</t>
        </is>
      </c>
      <c r="L74" s="5" t="inlineStr"/>
      <c r="M74" s="5" t="inlineStr">
        <is>
          <t>預售</t>
        </is>
      </c>
      <c r="N74" s="5" t="inlineStr">
        <is>
          <t>L3</t>
        </is>
      </c>
      <c r="O74" s="5" t="inlineStr">
        <is>
          <t>https://newhouse.591.com.tw/138977/detail；https://market.591.com.tw/5987660/price；https://taoyuan.housetube.tw/51989</t>
        </is>
      </c>
    </row>
    <row r="75">
      <c r="A75" s="5" t="n">
        <v>74</v>
      </c>
      <c r="B75" s="5" t="inlineStr">
        <is>
          <t>桃園市</t>
        </is>
      </c>
      <c r="C75" s="5" t="inlineStr">
        <is>
          <t>A21003</t>
        </is>
      </c>
      <c r="D75" s="5" t="inlineStr">
        <is>
          <t>taoyuan</t>
        </is>
      </c>
      <c r="E75" s="5" t="inlineStr">
        <is>
          <t>八德擴大重劃</t>
        </is>
      </c>
      <c r="F75" s="5" t="inlineStr">
        <is>
          <t>公辦市地重劃</t>
        </is>
      </c>
      <c r="G75" s="5" t="inlineStr">
        <is>
          <t>玖登春樹醴</t>
        </is>
      </c>
      <c r="H75" s="5" t="inlineStr">
        <is>
          <t>玖登建設</t>
        </is>
      </c>
      <c r="I75" s="5" t="inlineStr">
        <is>
          <t>69戶</t>
        </is>
      </c>
      <c r="J75" s="5" t="inlineStr">
        <is>
          <t>21-33坪</t>
        </is>
      </c>
      <c r="K75" s="5" t="inlineStr">
        <is>
          <t>48-53萬/坪</t>
        </is>
      </c>
      <c r="L75" s="5" t="inlineStr"/>
      <c r="M75" s="5" t="inlineStr">
        <is>
          <t>預售</t>
        </is>
      </c>
      <c r="N75" s="5" t="inlineStr">
        <is>
          <t>L3</t>
        </is>
      </c>
      <c r="O75" s="5" t="inlineStr">
        <is>
          <t>https://www.leju.com.tw/community_list?area=H334&amp;city=H&amp;is_new=1&amp;sid=11241</t>
        </is>
      </c>
    </row>
    <row r="76">
      <c r="A76" s="5" t="n">
        <v>75</v>
      </c>
      <c r="B76" s="5" t="inlineStr">
        <is>
          <t>桃園市</t>
        </is>
      </c>
      <c r="C76" s="5" t="inlineStr">
        <is>
          <t>A21003</t>
        </is>
      </c>
      <c r="D76" s="5" t="inlineStr">
        <is>
          <t>taoyuan</t>
        </is>
      </c>
      <c r="E76" s="5" t="inlineStr">
        <is>
          <t>八德擴大重劃</t>
        </is>
      </c>
      <c r="F76" s="5" t="inlineStr">
        <is>
          <t>公辦市地重劃</t>
        </is>
      </c>
      <c r="G76" s="5" t="inlineStr">
        <is>
          <t>合雄森居</t>
        </is>
      </c>
      <c r="H76" s="5" t="inlineStr">
        <is>
          <t>合雄建設</t>
        </is>
      </c>
      <c r="I76" s="5" t="inlineStr">
        <is>
          <t>95戶</t>
        </is>
      </c>
      <c r="J76" s="5" t="inlineStr">
        <is>
          <t>21-37坪</t>
        </is>
      </c>
      <c r="K76" s="5" t="inlineStr">
        <is>
          <t>46-50萬/坪</t>
        </is>
      </c>
      <c r="L76" s="5" t="inlineStr"/>
      <c r="M76" s="5" t="inlineStr">
        <is>
          <t>預售</t>
        </is>
      </c>
      <c r="N76" s="5" t="inlineStr">
        <is>
          <t>L3</t>
        </is>
      </c>
      <c r="O76" s="5" t="inlineStr">
        <is>
          <t>https://www.leju.com.tw/community_list?area=H334&amp;city=H&amp;is_new=1&amp;sid=11241；https://54aming.com/articles/1a49b8</t>
        </is>
      </c>
    </row>
    <row r="77">
      <c r="A77" s="5" t="n">
        <v>76</v>
      </c>
      <c r="B77" s="5" t="inlineStr">
        <is>
          <t>桃園市</t>
        </is>
      </c>
      <c r="C77" s="5" t="inlineStr">
        <is>
          <t>A21003</t>
        </is>
      </c>
      <c r="D77" s="5" t="inlineStr">
        <is>
          <t>taoyuan</t>
        </is>
      </c>
      <c r="E77" s="5" t="inlineStr">
        <is>
          <t>八德擴大重劃</t>
        </is>
      </c>
      <c r="F77" s="5" t="inlineStr">
        <is>
          <t>公辦市地重劃</t>
        </is>
      </c>
      <c r="G77" s="5" t="inlineStr">
        <is>
          <t>福鄉匯福鄉一匯</t>
        </is>
      </c>
      <c r="H77" s="5" t="inlineStr">
        <is>
          <t>福鄉建設</t>
        </is>
      </c>
      <c r="I77" s="5" t="inlineStr">
        <is>
          <t>69戶</t>
        </is>
      </c>
      <c r="J77" s="5" t="inlineStr"/>
      <c r="K77" s="5" t="inlineStr"/>
      <c r="L77" s="5" t="inlineStr"/>
      <c r="M77" s="5" t="inlineStr">
        <is>
          <t>銷售中</t>
        </is>
      </c>
      <c r="N77" s="5" t="inlineStr">
        <is>
          <t>L3</t>
        </is>
      </c>
      <c r="O77" s="5" t="inlineStr">
        <is>
          <t>https://www.leju.com.tw/community_list?area=H334&amp;city=H&amp;is_new=1&amp;sid=11241</t>
        </is>
      </c>
    </row>
    <row r="78">
      <c r="A78" s="5" t="n">
        <v>77</v>
      </c>
      <c r="B78" s="5" t="inlineStr">
        <is>
          <t>桃園市</t>
        </is>
      </c>
      <c r="C78" s="5" t="inlineStr">
        <is>
          <t>A21003</t>
        </is>
      </c>
      <c r="D78" s="5" t="inlineStr">
        <is>
          <t>taoyuan</t>
        </is>
      </c>
      <c r="E78" s="5" t="inlineStr">
        <is>
          <t>八德擴大重劃</t>
        </is>
      </c>
      <c r="F78" s="5" t="inlineStr">
        <is>
          <t>公辦市地重劃</t>
        </is>
      </c>
      <c r="G78" s="5" t="inlineStr">
        <is>
          <t>福鄉匯福鄉一邸</t>
        </is>
      </c>
      <c r="H78" s="5" t="inlineStr">
        <is>
          <t>福鄉建設</t>
        </is>
      </c>
      <c r="I78" s="5" t="inlineStr">
        <is>
          <t>100戶</t>
        </is>
      </c>
      <c r="J78" s="5" t="inlineStr">
        <is>
          <t>26-43坪</t>
        </is>
      </c>
      <c r="K78" s="5" t="inlineStr"/>
      <c r="L78" s="5" t="inlineStr"/>
      <c r="M78" s="5" t="inlineStr">
        <is>
          <t>新成屋</t>
        </is>
      </c>
      <c r="N78" s="5" t="inlineStr">
        <is>
          <t>L3</t>
        </is>
      </c>
      <c r="O78" s="5" t="inlineStr">
        <is>
          <t>https://www.leju.com.tw/community_list?area=H334&amp;city=H&amp;is_new=1&amp;sid=11241；https://newhouse.591.com.tw/135371</t>
        </is>
      </c>
    </row>
    <row r="79">
      <c r="A79" s="5" t="n">
        <v>78</v>
      </c>
      <c r="B79" s="5" t="inlineStr">
        <is>
          <t>桃園市</t>
        </is>
      </c>
      <c r="C79" s="5" t="inlineStr">
        <is>
          <t>A21003</t>
        </is>
      </c>
      <c r="D79" s="5" t="inlineStr">
        <is>
          <t>taoyuan</t>
        </is>
      </c>
      <c r="E79" s="5" t="inlineStr">
        <is>
          <t>八德擴大重劃</t>
        </is>
      </c>
      <c r="F79" s="5" t="inlineStr">
        <is>
          <t>公辦市地重劃</t>
        </is>
      </c>
      <c r="G79" s="5" t="inlineStr">
        <is>
          <t>竹風森林</t>
        </is>
      </c>
      <c r="H79" s="5" t="inlineStr">
        <is>
          <t>竹風建設</t>
        </is>
      </c>
      <c r="I79" s="5" t="inlineStr">
        <is>
          <t>148戶</t>
        </is>
      </c>
      <c r="J79" s="5" t="inlineStr">
        <is>
          <t>28-45坪</t>
        </is>
      </c>
      <c r="K79" s="5" t="inlineStr">
        <is>
          <t>50-57萬/坪</t>
        </is>
      </c>
      <c r="L79" s="5" t="inlineStr"/>
      <c r="M79" s="5" t="inlineStr">
        <is>
          <t>已完工</t>
        </is>
      </c>
      <c r="N79" s="5" t="inlineStr">
        <is>
          <t>L3</t>
        </is>
      </c>
      <c r="O79" s="5" t="inlineStr">
        <is>
          <t>https://www.leju.com.tw/community_list?area=H334&amp;city=H&amp;is_new=1&amp;sid=11241</t>
        </is>
      </c>
    </row>
    <row r="80">
      <c r="A80" s="5" t="n">
        <v>79</v>
      </c>
      <c r="B80" s="5" t="inlineStr">
        <is>
          <t>桃園市</t>
        </is>
      </c>
      <c r="C80" s="5" t="inlineStr">
        <is>
          <t>A21003</t>
        </is>
      </c>
      <c r="D80" s="5" t="inlineStr">
        <is>
          <t>taoyuan</t>
        </is>
      </c>
      <c r="E80" s="5" t="inlineStr">
        <is>
          <t>八德擴大重劃</t>
        </is>
      </c>
      <c r="F80" s="5" t="inlineStr">
        <is>
          <t>公辦市地重劃</t>
        </is>
      </c>
      <c r="G80" s="5" t="inlineStr">
        <is>
          <t>豐田博雅</t>
        </is>
      </c>
      <c r="H80" s="5" t="inlineStr"/>
      <c r="I80" s="5" t="inlineStr">
        <is>
          <t>10戶</t>
        </is>
      </c>
      <c r="J80" s="5" t="inlineStr">
        <is>
          <t>25坪</t>
        </is>
      </c>
      <c r="K80" s="5" t="inlineStr"/>
      <c r="L80" s="5" t="inlineStr"/>
      <c r="M80" s="5" t="inlineStr">
        <is>
          <t>已完工</t>
        </is>
      </c>
      <c r="N80" s="5" t="inlineStr">
        <is>
          <t>L3</t>
        </is>
      </c>
      <c r="O80" s="5" t="inlineStr">
        <is>
          <t>https://www.leju.com.tw/community_list?area=H334&amp;city=H&amp;is_new=1&amp;sid=11241</t>
        </is>
      </c>
    </row>
    <row r="81">
      <c r="A81" s="5" t="n">
        <v>80</v>
      </c>
      <c r="B81" s="5" t="inlineStr">
        <is>
          <t>桃園市</t>
        </is>
      </c>
      <c r="C81" s="5" t="inlineStr">
        <is>
          <t>A21003</t>
        </is>
      </c>
      <c r="D81" s="5" t="inlineStr">
        <is>
          <t>taoyuan</t>
        </is>
      </c>
      <c r="E81" s="5" t="inlineStr">
        <is>
          <t>中壢自辦重劃群</t>
        </is>
      </c>
      <c r="F81" s="5" t="inlineStr">
        <is>
          <t>自辦市地重劃</t>
        </is>
      </c>
      <c r="G81" s="5" t="inlineStr">
        <is>
          <t>松德致上</t>
        </is>
      </c>
      <c r="H81" s="5" t="inlineStr">
        <is>
          <t>寶誠建設</t>
        </is>
      </c>
      <c r="I81" s="5" t="inlineStr"/>
      <c r="J81" s="5" t="inlineStr">
        <is>
          <t>24-44坪</t>
        </is>
      </c>
      <c r="K81" s="5" t="inlineStr">
        <is>
          <t>36-41萬/坪</t>
        </is>
      </c>
      <c r="L81" s="5" t="inlineStr"/>
      <c r="M81" s="5" t="inlineStr">
        <is>
          <t>預售</t>
        </is>
      </c>
      <c r="N81" s="5" t="inlineStr">
        <is>
          <t>L3</t>
        </is>
      </c>
      <c r="O81" s="5" t="inlineStr">
        <is>
          <t>https://newhouse.591.com.tw/137632</t>
        </is>
      </c>
    </row>
    <row r="82">
      <c r="A82" s="5" t="n">
        <v>81</v>
      </c>
      <c r="B82" s="5" t="inlineStr">
        <is>
          <t>桃園市</t>
        </is>
      </c>
      <c r="C82" s="5" t="inlineStr">
        <is>
          <t>A21003</t>
        </is>
      </c>
      <c r="D82" s="5" t="inlineStr">
        <is>
          <t>taoyuan</t>
        </is>
      </c>
      <c r="E82" s="5" t="inlineStr">
        <is>
          <t>中壢自辦重劃群</t>
        </is>
      </c>
      <c r="F82" s="5" t="inlineStr">
        <is>
          <t>自辦市地重劃</t>
        </is>
      </c>
      <c r="G82" s="5" t="inlineStr">
        <is>
          <t>潤隆國家大院</t>
        </is>
      </c>
      <c r="H82" s="5" t="inlineStr">
        <is>
          <t>潤隆建設</t>
        </is>
      </c>
      <c r="I82" s="5" t="inlineStr"/>
      <c r="J82" s="5" t="inlineStr">
        <is>
          <t>20-35坪</t>
        </is>
      </c>
      <c r="K82" s="5" t="inlineStr"/>
      <c r="L82" s="5" t="inlineStr"/>
      <c r="M82" s="5" t="inlineStr"/>
      <c r="N82" s="5" t="inlineStr">
        <is>
          <t>L3</t>
        </is>
      </c>
      <c r="O82" s="5" t="inlineStr">
        <is>
          <t>https://taoyuan.housetube.tw/39852</t>
        </is>
      </c>
    </row>
    <row r="83">
      <c r="A83" s="5" t="n">
        <v>82</v>
      </c>
      <c r="B83" s="5" t="inlineStr">
        <is>
          <t>桃園市</t>
        </is>
      </c>
      <c r="C83" s="5" t="inlineStr">
        <is>
          <t>A21003</t>
        </is>
      </c>
      <c r="D83" s="5" t="inlineStr">
        <is>
          <t>taoyuan</t>
        </is>
      </c>
      <c r="E83" s="5" t="inlineStr">
        <is>
          <t>桃園航空城</t>
        </is>
      </c>
      <c r="F83" s="5" t="inlineStr">
        <is>
          <t>區段徵收</t>
        </is>
      </c>
      <c r="G83" s="5" t="inlineStr">
        <is>
          <t>橫埔社會住宅</t>
        </is>
      </c>
      <c r="H83" s="5" t="inlineStr">
        <is>
          <t>桃園市政府</t>
        </is>
      </c>
      <c r="I83" s="5" t="inlineStr">
        <is>
          <t>約900戶</t>
        </is>
      </c>
      <c r="J83" s="5" t="inlineStr"/>
      <c r="K83" s="5" t="inlineStr"/>
      <c r="L83" s="5" t="inlineStr"/>
      <c r="M83" s="5" t="inlineStr">
        <is>
          <t>興建中</t>
        </is>
      </c>
      <c r="N83" s="5" t="inlineStr">
        <is>
          <t>L3</t>
        </is>
      </c>
      <c r="O83" s="5" t="inlineStr">
        <is>
          <t>https://www.taiwanhot.net/news/focus/1136769/</t>
        </is>
      </c>
    </row>
    <row r="84">
      <c r="A84" s="5" t="n">
        <v>83</v>
      </c>
      <c r="B84" s="5" t="inlineStr">
        <is>
          <t>桃園市</t>
        </is>
      </c>
      <c r="C84" s="5" t="inlineStr">
        <is>
          <t>A21003</t>
        </is>
      </c>
      <c r="D84" s="5" t="inlineStr">
        <is>
          <t>taoyuan</t>
        </is>
      </c>
      <c r="E84" s="5" t="inlineStr">
        <is>
          <t>桃園航空城</t>
        </is>
      </c>
      <c r="F84" s="5" t="inlineStr">
        <is>
          <t>區段徵收</t>
        </is>
      </c>
      <c r="G84" s="5" t="inlineStr">
        <is>
          <t>誠聖社會住宅</t>
        </is>
      </c>
      <c r="H84" s="5" t="inlineStr">
        <is>
          <t>桃園市政府</t>
        </is>
      </c>
      <c r="I84" s="5" t="inlineStr">
        <is>
          <t>約900戶</t>
        </is>
      </c>
      <c r="J84" s="5" t="inlineStr"/>
      <c r="K84" s="5" t="inlineStr"/>
      <c r="L84" s="5" t="inlineStr"/>
      <c r="M84" s="5" t="inlineStr">
        <is>
          <t>興建中</t>
        </is>
      </c>
      <c r="N84" s="5" t="inlineStr">
        <is>
          <t>L3</t>
        </is>
      </c>
      <c r="O84" s="5" t="inlineStr">
        <is>
          <t>https://www.taiwanhot.net/news/focus/1136769/</t>
        </is>
      </c>
    </row>
    <row r="85">
      <c r="A85" s="5" t="n">
        <v>84</v>
      </c>
      <c r="B85" s="5" t="inlineStr">
        <is>
          <t>桃園市</t>
        </is>
      </c>
      <c r="C85" s="5" t="inlineStr">
        <is>
          <t>A21003</t>
        </is>
      </c>
      <c r="D85" s="5" t="inlineStr">
        <is>
          <t>taoyuan</t>
        </is>
      </c>
      <c r="E85" s="5" t="inlineStr">
        <is>
          <t>青埔高鐵特區</t>
        </is>
      </c>
      <c r="F85" s="5" t="inlineStr">
        <is>
          <t>區段徵收</t>
        </is>
      </c>
      <c r="G85" s="5" t="inlineStr">
        <is>
          <t>新大墨</t>
        </is>
      </c>
      <c r="H85" s="5" t="inlineStr">
        <is>
          <t>新大建設</t>
        </is>
      </c>
      <c r="I85" s="5" t="inlineStr">
        <is>
          <t>90戶</t>
        </is>
      </c>
      <c r="J85" s="5" t="inlineStr">
        <is>
          <t>46-66坪</t>
        </is>
      </c>
      <c r="K85" s="5" t="inlineStr">
        <is>
          <t>70-75萬/坪</t>
        </is>
      </c>
      <c r="L85" s="5" t="inlineStr"/>
      <c r="M85" s="5" t="inlineStr">
        <is>
          <t>預售</t>
        </is>
      </c>
      <c r="N85" s="5" t="inlineStr">
        <is>
          <t>L3</t>
        </is>
      </c>
      <c r="O85" s="5" t="inlineStr">
        <is>
          <t>https://www.leju.com.tw/community_list?area=H320&amp;city=H&amp;is_new=1&amp;sid=11116</t>
        </is>
      </c>
    </row>
    <row r="86">
      <c r="A86" s="5" t="n">
        <v>85</v>
      </c>
      <c r="B86" s="5" t="inlineStr">
        <is>
          <t>桃園市</t>
        </is>
      </c>
      <c r="C86" s="5" t="inlineStr">
        <is>
          <t>A21003</t>
        </is>
      </c>
      <c r="D86" s="5" t="inlineStr">
        <is>
          <t>taoyuan</t>
        </is>
      </c>
      <c r="E86" s="5" t="inlineStr">
        <is>
          <t>青埔高鐵特區</t>
        </is>
      </c>
      <c r="F86" s="5" t="inlineStr">
        <is>
          <t>區段徵收</t>
        </is>
      </c>
      <c r="G86" s="5" t="inlineStr">
        <is>
          <t>皇普賦隱</t>
        </is>
      </c>
      <c r="H86" s="5" t="inlineStr">
        <is>
          <t>皇普建設</t>
        </is>
      </c>
      <c r="I86" s="5" t="inlineStr">
        <is>
          <t>81戶</t>
        </is>
      </c>
      <c r="J86" s="5" t="inlineStr">
        <is>
          <t>42-58坪</t>
        </is>
      </c>
      <c r="K86" s="5" t="inlineStr"/>
      <c r="L86" s="5" t="inlineStr"/>
      <c r="M86" s="5" t="inlineStr">
        <is>
          <t>興建中</t>
        </is>
      </c>
      <c r="N86" s="5" t="inlineStr">
        <is>
          <t>L3</t>
        </is>
      </c>
      <c r="O86" s="5" t="inlineStr">
        <is>
          <t>https://www.leju.com.tw/community_list?area=H320&amp;city=H&amp;is_new=1&amp;sid=11116</t>
        </is>
      </c>
    </row>
    <row r="87">
      <c r="A87" s="5" t="n">
        <v>86</v>
      </c>
      <c r="B87" s="5" t="inlineStr">
        <is>
          <t>桃園市</t>
        </is>
      </c>
      <c r="C87" s="5" t="inlineStr">
        <is>
          <t>A21003</t>
        </is>
      </c>
      <c r="D87" s="5" t="inlineStr">
        <is>
          <t>taoyuan</t>
        </is>
      </c>
      <c r="E87" s="5" t="inlineStr">
        <is>
          <t>青埔高鐵特區</t>
        </is>
      </c>
      <c r="F87" s="5" t="inlineStr">
        <is>
          <t>區段徵收</t>
        </is>
      </c>
      <c r="G87" s="5" t="inlineStr">
        <is>
          <t>悅新愛樂/悅新艾玥</t>
        </is>
      </c>
      <c r="H87" s="5" t="inlineStr">
        <is>
          <t>悅新建設</t>
        </is>
      </c>
      <c r="I87" s="5" t="inlineStr">
        <is>
          <t>30戶</t>
        </is>
      </c>
      <c r="J87" s="5" t="inlineStr">
        <is>
          <t>19-32坪</t>
        </is>
      </c>
      <c r="K87" s="5" t="inlineStr">
        <is>
          <t>61.9-66.8萬/坪</t>
        </is>
      </c>
      <c r="L87" s="5" t="inlineStr"/>
      <c r="M87" s="5" t="inlineStr">
        <is>
          <t>預售</t>
        </is>
      </c>
      <c r="N87" s="5" t="inlineStr">
        <is>
          <t>L3</t>
        </is>
      </c>
      <c r="O87" s="5" t="inlineStr">
        <is>
          <t>https://www.leju.com.tw/community_list?area=H320&amp;city=H&amp;is_new=1&amp;sid=11116</t>
        </is>
      </c>
    </row>
    <row r="88">
      <c r="A88" s="5" t="n">
        <v>87</v>
      </c>
      <c r="B88" s="5" t="inlineStr">
        <is>
          <t>桃園市</t>
        </is>
      </c>
      <c r="C88" s="5" t="inlineStr">
        <is>
          <t>A21003</t>
        </is>
      </c>
      <c r="D88" s="5" t="inlineStr">
        <is>
          <t>taoyuan</t>
        </is>
      </c>
      <c r="E88" s="5" t="inlineStr">
        <is>
          <t>青埔高鐵特區</t>
        </is>
      </c>
      <c r="F88" s="5" t="inlineStr">
        <is>
          <t>區段徵收</t>
        </is>
      </c>
      <c r="G88" s="5" t="inlineStr">
        <is>
          <t>新大萃</t>
        </is>
      </c>
      <c r="H88" s="5" t="inlineStr">
        <is>
          <t>新大建設</t>
        </is>
      </c>
      <c r="I88" s="5" t="inlineStr">
        <is>
          <t>78戶</t>
        </is>
      </c>
      <c r="J88" s="5" t="inlineStr">
        <is>
          <t>31-43坪</t>
        </is>
      </c>
      <c r="K88" s="5" t="inlineStr">
        <is>
          <t>75萬/坪</t>
        </is>
      </c>
      <c r="L88" s="5" t="inlineStr"/>
      <c r="M88" s="5" t="inlineStr">
        <is>
          <t>預售</t>
        </is>
      </c>
      <c r="N88" s="5" t="inlineStr">
        <is>
          <t>L3</t>
        </is>
      </c>
      <c r="O88" s="5" t="inlineStr">
        <is>
          <t>https://www.leju.com.tw/community_list?area=H320&amp;city=H&amp;is_new=1&amp;sid=11116</t>
        </is>
      </c>
    </row>
    <row r="89">
      <c r="A89" s="5" t="n">
        <v>88</v>
      </c>
      <c r="B89" s="5" t="inlineStr">
        <is>
          <t>桃園市</t>
        </is>
      </c>
      <c r="C89" s="5" t="inlineStr">
        <is>
          <t>A21003</t>
        </is>
      </c>
      <c r="D89" s="5" t="inlineStr">
        <is>
          <t>taoyuan</t>
        </is>
      </c>
      <c r="E89" s="5" t="inlineStr">
        <is>
          <t>青埔高鐵特區</t>
        </is>
      </c>
      <c r="F89" s="5" t="inlineStr">
        <is>
          <t>區段徵收</t>
        </is>
      </c>
      <c r="G89" s="5" t="inlineStr">
        <is>
          <t>昭揚青埔</t>
        </is>
      </c>
      <c r="H89" s="5" t="inlineStr">
        <is>
          <t>昭揚建設</t>
        </is>
      </c>
      <c r="I89" s="5" t="inlineStr">
        <is>
          <t>158戶</t>
        </is>
      </c>
      <c r="J89" s="5" t="inlineStr">
        <is>
          <t>19-36坪</t>
        </is>
      </c>
      <c r="K89" s="5" t="inlineStr">
        <is>
          <t>65萬/坪</t>
        </is>
      </c>
      <c r="L89" s="5" t="inlineStr"/>
      <c r="M89" s="5" t="inlineStr">
        <is>
          <t>預售</t>
        </is>
      </c>
      <c r="N89" s="5" t="inlineStr">
        <is>
          <t>L3</t>
        </is>
      </c>
      <c r="O89" s="5" t="inlineStr">
        <is>
          <t>https://www.leju.com.tw/community_list?area=H320&amp;city=H&amp;is_new=1&amp;sid=11116</t>
        </is>
      </c>
    </row>
    <row r="90">
      <c r="A90" s="5" t="n">
        <v>89</v>
      </c>
      <c r="B90" s="5" t="inlineStr">
        <is>
          <t>桃園市</t>
        </is>
      </c>
      <c r="C90" s="5" t="inlineStr">
        <is>
          <t>A21003</t>
        </is>
      </c>
      <c r="D90" s="5" t="inlineStr">
        <is>
          <t>taoyuan</t>
        </is>
      </c>
      <c r="E90" s="5" t="inlineStr">
        <is>
          <t>青埔高鐵特區</t>
        </is>
      </c>
      <c r="F90" s="5" t="inlineStr">
        <is>
          <t>區段徵收</t>
        </is>
      </c>
      <c r="G90" s="5" t="inlineStr">
        <is>
          <t>宜雄湛</t>
        </is>
      </c>
      <c r="H90" s="5" t="inlineStr">
        <is>
          <t>宜雄建設</t>
        </is>
      </c>
      <c r="I90" s="5" t="inlineStr">
        <is>
          <t>104戶</t>
        </is>
      </c>
      <c r="J90" s="5" t="inlineStr">
        <is>
          <t>31-43坪</t>
        </is>
      </c>
      <c r="K90" s="5" t="inlineStr">
        <is>
          <t>72-76萬/坪</t>
        </is>
      </c>
      <c r="L90" s="5" t="inlineStr"/>
      <c r="M90" s="5" t="inlineStr">
        <is>
          <t>新成屋</t>
        </is>
      </c>
      <c r="N90" s="5" t="inlineStr">
        <is>
          <t>L3</t>
        </is>
      </c>
      <c r="O90" s="5" t="inlineStr">
        <is>
          <t>https://www.leju.com.tw/community_list?area=H320&amp;city=H&amp;is_new=1&amp;sid=11116</t>
        </is>
      </c>
    </row>
    <row r="91">
      <c r="A91" s="5" t="n">
        <v>90</v>
      </c>
      <c r="B91" s="5" t="inlineStr">
        <is>
          <t>桃園市</t>
        </is>
      </c>
      <c r="C91" s="5" t="inlineStr">
        <is>
          <t>A21003</t>
        </is>
      </c>
      <c r="D91" s="5" t="inlineStr">
        <is>
          <t>taoyuan</t>
        </is>
      </c>
      <c r="E91" s="5" t="inlineStr">
        <is>
          <t>青埔高鐵特區</t>
        </is>
      </c>
      <c r="F91" s="5" t="inlineStr">
        <is>
          <t>區段徵收</t>
        </is>
      </c>
      <c r="G91" s="5" t="inlineStr">
        <is>
          <t>閣美學</t>
        </is>
      </c>
      <c r="H91" s="5" t="inlineStr">
        <is>
          <t>閣美學建設</t>
        </is>
      </c>
      <c r="I91" s="5" t="inlineStr">
        <is>
          <t>73戶</t>
        </is>
      </c>
      <c r="J91" s="5" t="inlineStr">
        <is>
          <t>30-39坪</t>
        </is>
      </c>
      <c r="K91" s="5" t="inlineStr">
        <is>
          <t>62-68萬/坪</t>
        </is>
      </c>
      <c r="L91" s="5" t="inlineStr"/>
      <c r="M91" s="5" t="inlineStr">
        <is>
          <t>新成屋</t>
        </is>
      </c>
      <c r="N91" s="5" t="inlineStr">
        <is>
          <t>L3</t>
        </is>
      </c>
      <c r="O91" s="5" t="inlineStr">
        <is>
          <t>https://www.leju.com.tw/community_list?area=H320&amp;city=H&amp;is_new=1&amp;sid=11116</t>
        </is>
      </c>
    </row>
    <row r="92">
      <c r="A92" s="5" t="n">
        <v>91</v>
      </c>
      <c r="B92" s="5" t="inlineStr">
        <is>
          <t>桃園市</t>
        </is>
      </c>
      <c r="C92" s="5" t="inlineStr">
        <is>
          <t>A21003</t>
        </is>
      </c>
      <c r="D92" s="5" t="inlineStr">
        <is>
          <t>taoyuan</t>
        </is>
      </c>
      <c r="E92" s="5" t="inlineStr">
        <is>
          <t>青埔高鐵特區</t>
        </is>
      </c>
      <c r="F92" s="5" t="inlineStr">
        <is>
          <t>區段徵收</t>
        </is>
      </c>
      <c r="G92" s="5" t="inlineStr">
        <is>
          <t>宜誠賦</t>
        </is>
      </c>
      <c r="H92" s="5" t="inlineStr">
        <is>
          <t>宜誠建設</t>
        </is>
      </c>
      <c r="I92" s="5" t="inlineStr">
        <is>
          <t>91戶</t>
        </is>
      </c>
      <c r="J92" s="5" t="inlineStr">
        <is>
          <t>25-41坪</t>
        </is>
      </c>
      <c r="K92" s="5" t="inlineStr">
        <is>
          <t>64-73萬/坪</t>
        </is>
      </c>
      <c r="L92" s="5" t="inlineStr"/>
      <c r="M92" s="5" t="inlineStr">
        <is>
          <t>新成屋</t>
        </is>
      </c>
      <c r="N92" s="5" t="inlineStr">
        <is>
          <t>L3</t>
        </is>
      </c>
      <c r="O92" s="5" t="inlineStr">
        <is>
          <t>https://54aming.com/articles/a0d02f</t>
        </is>
      </c>
    </row>
    <row r="93">
      <c r="A93" s="5" t="n">
        <v>92</v>
      </c>
      <c r="B93" s="5" t="inlineStr">
        <is>
          <t>桃園市</t>
        </is>
      </c>
      <c r="C93" s="5" t="inlineStr">
        <is>
          <t>A21003</t>
        </is>
      </c>
      <c r="D93" s="5" t="inlineStr">
        <is>
          <t>taoyuan</t>
        </is>
      </c>
      <c r="E93" s="5" t="inlineStr">
        <is>
          <t>青埔高鐵特區</t>
        </is>
      </c>
      <c r="F93" s="5" t="inlineStr">
        <is>
          <t>區段徵收</t>
        </is>
      </c>
      <c r="G93" s="5" t="inlineStr">
        <is>
          <t>宜誠泱</t>
        </is>
      </c>
      <c r="H93" s="5" t="inlineStr">
        <is>
          <t>宜誠建設</t>
        </is>
      </c>
      <c r="I93" s="5" t="inlineStr"/>
      <c r="J93" s="5" t="inlineStr"/>
      <c r="K93" s="5" t="inlineStr">
        <is>
          <t>60.05萬/坪</t>
        </is>
      </c>
      <c r="L93" s="5" t="inlineStr"/>
      <c r="M93" s="5" t="inlineStr">
        <is>
          <t>預售</t>
        </is>
      </c>
      <c r="N93" s="5" t="inlineStr">
        <is>
          <t>L3</t>
        </is>
      </c>
      <c r="O93" s="5" t="inlineStr">
        <is>
          <t>https://www.leju.com.tw/page_blog/view/2563</t>
        </is>
      </c>
    </row>
    <row r="94">
      <c r="A94" s="5" t="n">
        <v>93</v>
      </c>
      <c r="B94" s="5" t="inlineStr">
        <is>
          <t>桃園市</t>
        </is>
      </c>
      <c r="C94" s="5" t="inlineStr">
        <is>
          <t>A21003</t>
        </is>
      </c>
      <c r="D94" s="5" t="inlineStr">
        <is>
          <t>taoyuan</t>
        </is>
      </c>
      <c r="E94" s="5" t="inlineStr">
        <is>
          <t>青埔高鐵特區</t>
        </is>
      </c>
      <c r="F94" s="5" t="inlineStr">
        <is>
          <t>區段徵收</t>
        </is>
      </c>
      <c r="G94" s="5" t="inlineStr">
        <is>
          <t>大濟御禾院</t>
        </is>
      </c>
      <c r="H94" s="5" t="inlineStr">
        <is>
          <t>大濟建設</t>
        </is>
      </c>
      <c r="I94" s="5" t="inlineStr"/>
      <c r="J94" s="5" t="inlineStr"/>
      <c r="K94" s="5" t="inlineStr">
        <is>
          <t>47.26萬/坪</t>
        </is>
      </c>
      <c r="L94" s="5" t="inlineStr"/>
      <c r="M94" s="5" t="inlineStr">
        <is>
          <t>預售</t>
        </is>
      </c>
      <c r="N94" s="5" t="inlineStr">
        <is>
          <t>L3</t>
        </is>
      </c>
      <c r="O94" s="5" t="inlineStr">
        <is>
          <t>https://www.leju.com.tw/page_blog/view/2563</t>
        </is>
      </c>
    </row>
    <row r="95">
      <c r="A95" s="5" t="n">
        <v>94</v>
      </c>
      <c r="B95" s="5" t="inlineStr">
        <is>
          <t>桃園市</t>
        </is>
      </c>
      <c r="C95" s="5" t="inlineStr">
        <is>
          <t>A21003</t>
        </is>
      </c>
      <c r="D95" s="5" t="inlineStr">
        <is>
          <t>taoyuan</t>
        </is>
      </c>
      <c r="E95" s="5" t="inlineStr">
        <is>
          <t>青埔高鐵特區</t>
        </is>
      </c>
      <c r="F95" s="5" t="inlineStr">
        <is>
          <t>區段徵收</t>
        </is>
      </c>
      <c r="G95" s="5" t="inlineStr">
        <is>
          <t>力璞翔-豐禾/力璞水御耘山</t>
        </is>
      </c>
      <c r="H95" s="5" t="inlineStr">
        <is>
          <t>力璞建設</t>
        </is>
      </c>
      <c r="I95" s="5" t="inlineStr"/>
      <c r="J95" s="5" t="inlineStr"/>
      <c r="K95" s="5" t="inlineStr">
        <is>
          <t>73-75萬/坪</t>
        </is>
      </c>
      <c r="L95" s="5" t="inlineStr"/>
      <c r="M95" s="5" t="inlineStr">
        <is>
          <t>預售</t>
        </is>
      </c>
      <c r="N95" s="5" t="inlineStr">
        <is>
          <t>L3</t>
        </is>
      </c>
      <c r="O95" s="5" t="inlineStr">
        <is>
          <t>https://house.chinatimes.com/housetourtaoyuan#tab2-3</t>
        </is>
      </c>
    </row>
    <row r="96">
      <c r="A96" s="5" t="n">
        <v>95</v>
      </c>
      <c r="B96" s="5" t="inlineStr">
        <is>
          <t>桃園市</t>
        </is>
      </c>
      <c r="C96" s="5" t="inlineStr">
        <is>
          <t>A21003</t>
        </is>
      </c>
      <c r="D96" s="5" t="inlineStr">
        <is>
          <t>taoyuan</t>
        </is>
      </c>
      <c r="E96" s="5" t="inlineStr">
        <is>
          <t>青埔高鐵特區</t>
        </is>
      </c>
      <c r="F96" s="5" t="inlineStr">
        <is>
          <t>區段徵收</t>
        </is>
      </c>
      <c r="G96" s="5" t="inlineStr">
        <is>
          <t>威均天璽</t>
        </is>
      </c>
      <c r="H96" s="5" t="inlineStr">
        <is>
          <t>威均建設</t>
        </is>
      </c>
      <c r="I96" s="5" t="inlineStr"/>
      <c r="J96" s="5" t="inlineStr"/>
      <c r="K96" s="5" t="inlineStr">
        <is>
          <t>69-70萬/坪</t>
        </is>
      </c>
      <c r="L96" s="5" t="inlineStr"/>
      <c r="M96" s="5" t="inlineStr">
        <is>
          <t>預售</t>
        </is>
      </c>
      <c r="N96" s="5" t="inlineStr">
        <is>
          <t>L3</t>
        </is>
      </c>
      <c r="O96" s="5" t="inlineStr">
        <is>
          <t>https://house.chinatimes.com/housetourtaoyuan#tab2-3</t>
        </is>
      </c>
    </row>
    <row r="97">
      <c r="A97" s="5" t="n">
        <v>96</v>
      </c>
      <c r="B97" s="5" t="inlineStr">
        <is>
          <t>桃園市</t>
        </is>
      </c>
      <c r="C97" s="5" t="inlineStr">
        <is>
          <t>A21003</t>
        </is>
      </c>
      <c r="D97" s="5" t="inlineStr">
        <is>
          <t>taoyuan</t>
        </is>
      </c>
      <c r="E97" s="5" t="inlineStr">
        <is>
          <t>中路區段徵收</t>
        </is>
      </c>
      <c r="F97" s="5" t="inlineStr">
        <is>
          <t>區段徵收</t>
        </is>
      </c>
      <c r="G97" s="5" t="inlineStr">
        <is>
          <t>璟都中路大苑</t>
        </is>
      </c>
      <c r="H97" s="5" t="inlineStr">
        <is>
          <t>璟都建設</t>
        </is>
      </c>
      <c r="I97" s="5" t="inlineStr">
        <is>
          <t>251戶</t>
        </is>
      </c>
      <c r="J97" s="5" t="inlineStr">
        <is>
          <t>33-68坪</t>
        </is>
      </c>
      <c r="K97" s="5" t="inlineStr">
        <is>
          <t>56.85萬/坪</t>
        </is>
      </c>
      <c r="L97" s="5" t="inlineStr"/>
      <c r="M97" s="5" t="inlineStr">
        <is>
          <t>預售</t>
        </is>
      </c>
      <c r="N97" s="5" t="inlineStr">
        <is>
          <t>L3</t>
        </is>
      </c>
      <c r="O97" s="5" t="inlineStr">
        <is>
          <t>https://www.housefeel.com.tw/article/%E4%B8%AD%E8%B7%AF%E9%87%8D%E5%8A%83%E5%8D%80-%E4%B8%AD%E8%B7%AF%E7%89%B9%E5%8D%80-%E4%B8%AD%E8%B7%AF%E5%BB%BA%E6%A1%88/</t>
        </is>
      </c>
    </row>
    <row r="98">
      <c r="A98" s="5" t="n">
        <v>97</v>
      </c>
      <c r="B98" s="5" t="inlineStr">
        <is>
          <t>桃園市</t>
        </is>
      </c>
      <c r="C98" s="5" t="inlineStr">
        <is>
          <t>A21003</t>
        </is>
      </c>
      <c r="D98" s="5" t="inlineStr">
        <is>
          <t>taoyuan</t>
        </is>
      </c>
      <c r="E98" s="5" t="inlineStr">
        <is>
          <t>中路區段徵收</t>
        </is>
      </c>
      <c r="F98" s="5" t="inlineStr">
        <is>
          <t>區段徵收</t>
        </is>
      </c>
      <c r="G98" s="5" t="inlineStr">
        <is>
          <t>宜誠川丰</t>
        </is>
      </c>
      <c r="H98" s="5" t="inlineStr">
        <is>
          <t>宜誠建設</t>
        </is>
      </c>
      <c r="I98" s="5" t="inlineStr">
        <is>
          <t>169戶</t>
        </is>
      </c>
      <c r="J98" s="5" t="inlineStr">
        <is>
          <t>48-60坪</t>
        </is>
      </c>
      <c r="K98" s="5" t="inlineStr">
        <is>
          <t>56.72萬/坪</t>
        </is>
      </c>
      <c r="L98" s="5" t="inlineStr"/>
      <c r="M98" s="5" t="inlineStr">
        <is>
          <t>預售</t>
        </is>
      </c>
      <c r="N98" s="5" t="inlineStr">
        <is>
          <t>L3</t>
        </is>
      </c>
      <c r="O98" s="5" t="inlineStr">
        <is>
          <t>https://www.housefeel.com.tw/article/%E4%B8%AD%E8%B7%AF%E9%87%8D%E5%8A%83%E5%8D%80-%E4%B8%AD%E8%B7%AF%E7%89%B9%E5%8D%80-%E4%B8%AD%E8%B7%AF%E5%BB%BA%E6%A1%88/</t>
        </is>
      </c>
    </row>
    <row r="99">
      <c r="A99" s="5" t="n">
        <v>98</v>
      </c>
      <c r="B99" s="5" t="inlineStr">
        <is>
          <t>桃園市</t>
        </is>
      </c>
      <c r="C99" s="5" t="inlineStr">
        <is>
          <t>A21003</t>
        </is>
      </c>
      <c r="D99" s="5" t="inlineStr">
        <is>
          <t>taoyuan</t>
        </is>
      </c>
      <c r="E99" s="5" t="inlineStr">
        <is>
          <t>中路區段徵收</t>
        </is>
      </c>
      <c r="F99" s="5" t="inlineStr">
        <is>
          <t>區段徵收</t>
        </is>
      </c>
      <c r="G99" s="5" t="inlineStr">
        <is>
          <t>悅讀伊頓</t>
        </is>
      </c>
      <c r="H99" s="5" t="inlineStr">
        <is>
          <t>伊頓建設</t>
        </is>
      </c>
      <c r="I99" s="5" t="inlineStr">
        <is>
          <t>612戶</t>
        </is>
      </c>
      <c r="J99" s="5" t="inlineStr">
        <is>
          <t>25-37坪</t>
        </is>
      </c>
      <c r="K99" s="5" t="inlineStr">
        <is>
          <t>63.42萬/坪</t>
        </is>
      </c>
      <c r="L99" s="5" t="inlineStr"/>
      <c r="M99" s="5" t="inlineStr">
        <is>
          <t>預售</t>
        </is>
      </c>
      <c r="N99" s="5" t="inlineStr">
        <is>
          <t>L3</t>
        </is>
      </c>
      <c r="O99" s="5" t="inlineStr">
        <is>
          <t>https://www.housefeel.com.tw/article/%E4%B8%AD%E8%B7%AF%E9%87%8D%E5%8A%83%E5%8D%80-%E4%B8%AD%E8%B7%AF%E7%89%B9%E5%8D%80-%E4%B8%AD%E8%B7%AF%E5%BB%BA%E6%A1%88/</t>
        </is>
      </c>
    </row>
    <row r="100">
      <c r="A100" s="5" t="n">
        <v>99</v>
      </c>
      <c r="B100" s="5" t="inlineStr">
        <is>
          <t>桃園市</t>
        </is>
      </c>
      <c r="C100" s="5" t="inlineStr">
        <is>
          <t>A21003</t>
        </is>
      </c>
      <c r="D100" s="5" t="inlineStr">
        <is>
          <t>taoyuan</t>
        </is>
      </c>
      <c r="E100" s="5" t="inlineStr">
        <is>
          <t>中路區段徵收</t>
        </is>
      </c>
      <c r="F100" s="5" t="inlineStr">
        <is>
          <t>區段徵收</t>
        </is>
      </c>
      <c r="G100" s="5" t="inlineStr">
        <is>
          <t>凱越豐耘</t>
        </is>
      </c>
      <c r="H100" s="5" t="inlineStr">
        <is>
          <t>凱越建設</t>
        </is>
      </c>
      <c r="I100" s="5" t="inlineStr">
        <is>
          <t>260戶</t>
        </is>
      </c>
      <c r="J100" s="5" t="inlineStr">
        <is>
          <t>27-49坪</t>
        </is>
      </c>
      <c r="K100" s="5" t="inlineStr"/>
      <c r="L100" s="5" t="inlineStr"/>
      <c r="M100" s="5" t="inlineStr">
        <is>
          <t>預售</t>
        </is>
      </c>
      <c r="N100" s="5" t="inlineStr">
        <is>
          <t>L3</t>
        </is>
      </c>
      <c r="O100" s="5" t="inlineStr">
        <is>
          <t>https://www.housefeel.com.tw/article/%E4%B8%AD%E8%B7%AF%E9%87%8D%E5%8A%83%E5%8D%80-%E4%B8%AD%E8%B7%AF%E7%89%B9%E5%8D%80-%E4%B8%AD%E8%B7%AF%E5%BB%BA%E6%A1%88/</t>
        </is>
      </c>
    </row>
    <row r="101">
      <c r="A101" s="5" t="n">
        <v>100</v>
      </c>
      <c r="B101" s="5" t="inlineStr">
        <is>
          <t>桃園市</t>
        </is>
      </c>
      <c r="C101" s="5" t="inlineStr">
        <is>
          <t>A21003</t>
        </is>
      </c>
      <c r="D101" s="5" t="inlineStr">
        <is>
          <t>taoyuan</t>
        </is>
      </c>
      <c r="E101" s="5" t="inlineStr">
        <is>
          <t>中路區段徵收</t>
        </is>
      </c>
      <c r="F101" s="5" t="inlineStr">
        <is>
          <t>區段徵收</t>
        </is>
      </c>
      <c r="G101" s="5" t="inlineStr">
        <is>
          <t>璟都柏悅</t>
        </is>
      </c>
      <c r="H101" s="5" t="inlineStr">
        <is>
          <t>璟都建設</t>
        </is>
      </c>
      <c r="I101" s="5" t="inlineStr">
        <is>
          <t>291戶</t>
        </is>
      </c>
      <c r="J101" s="5" t="inlineStr">
        <is>
          <t>23-38坪</t>
        </is>
      </c>
      <c r="K101" s="5" t="inlineStr">
        <is>
          <t>44.44萬/坪</t>
        </is>
      </c>
      <c r="L101" s="5" t="inlineStr"/>
      <c r="M101" s="5" t="inlineStr">
        <is>
          <t>已完工</t>
        </is>
      </c>
      <c r="N101" s="5" t="inlineStr">
        <is>
          <t>L3</t>
        </is>
      </c>
      <c r="O101" s="5" t="inlineStr">
        <is>
          <t>https://www.housefeel.com.tw/article/%E4%B8%AD%E8%B7%AF%E9%87%8D%E5%8A%83%E5%8D%80-%E4%B8%AD%E8%B7%AF%E7%89%B9%E5%8D%80-%E4%B8%AD%E8%B7%AF%E5%BB%BA%E6%A1%88/</t>
        </is>
      </c>
    </row>
    <row r="102">
      <c r="A102" s="5" t="n">
        <v>101</v>
      </c>
      <c r="B102" s="5" t="inlineStr">
        <is>
          <t>桃園市</t>
        </is>
      </c>
      <c r="C102" s="5" t="inlineStr">
        <is>
          <t>A21003</t>
        </is>
      </c>
      <c r="D102" s="5" t="inlineStr">
        <is>
          <t>taoyuan</t>
        </is>
      </c>
      <c r="E102" s="5" t="inlineStr">
        <is>
          <t>中路區段徵收</t>
        </is>
      </c>
      <c r="F102" s="5" t="inlineStr">
        <is>
          <t>區段徵收</t>
        </is>
      </c>
      <c r="G102" s="5" t="inlineStr">
        <is>
          <t>中悅美樹花園</t>
        </is>
      </c>
      <c r="H102" s="5" t="inlineStr">
        <is>
          <t>中悅建設</t>
        </is>
      </c>
      <c r="I102" s="5" t="inlineStr">
        <is>
          <t>105戶</t>
        </is>
      </c>
      <c r="J102" s="5" t="inlineStr">
        <is>
          <t>120-125坪</t>
        </is>
      </c>
      <c r="K102" s="5" t="inlineStr">
        <is>
          <t>42.76萬/坪</t>
        </is>
      </c>
      <c r="L102" s="5" t="inlineStr"/>
      <c r="M102" s="5" t="inlineStr">
        <is>
          <t>已完工</t>
        </is>
      </c>
      <c r="N102" s="5" t="inlineStr">
        <is>
          <t>L3</t>
        </is>
      </c>
      <c r="O102" s="5" t="inlineStr">
        <is>
          <t>https://www.housefeel.com.tw/article/%E4%B8%AD%E8%B7%AF%E9%87%8D%E5%8A%83%E5%8D%80-%E4%B8%AD%E8%B7%AF%E7%89%B9%E5%8D%80-%E4%B8%AD%E8%B7%AF%E5%BB%BA%E6%A1%88/</t>
        </is>
      </c>
    </row>
    <row r="103">
      <c r="A103" s="5" t="n">
        <v>102</v>
      </c>
      <c r="B103" s="5" t="inlineStr">
        <is>
          <t>桃園市</t>
        </is>
      </c>
      <c r="C103" s="5" t="inlineStr">
        <is>
          <t>A21003</t>
        </is>
      </c>
      <c r="D103" s="5" t="inlineStr">
        <is>
          <t>taoyuan</t>
        </is>
      </c>
      <c r="E103" s="5" t="inlineStr">
        <is>
          <t>中路區段徵收</t>
        </is>
      </c>
      <c r="F103" s="5" t="inlineStr">
        <is>
          <t>區段徵收</t>
        </is>
      </c>
      <c r="G103" s="5" t="inlineStr">
        <is>
          <t>昭揚無限</t>
        </is>
      </c>
      <c r="H103" s="5" t="inlineStr">
        <is>
          <t>昭揚建設</t>
        </is>
      </c>
      <c r="I103" s="5" t="inlineStr">
        <is>
          <t>49戶</t>
        </is>
      </c>
      <c r="J103" s="5" t="inlineStr">
        <is>
          <t>42坪</t>
        </is>
      </c>
      <c r="K103" s="5" t="inlineStr">
        <is>
          <t>48.96萬/坪</t>
        </is>
      </c>
      <c r="L103" s="5" t="inlineStr"/>
      <c r="M103" s="5" t="inlineStr">
        <is>
          <t>已完工</t>
        </is>
      </c>
      <c r="N103" s="5" t="inlineStr">
        <is>
          <t>L3</t>
        </is>
      </c>
      <c r="O103" s="5" t="inlineStr">
        <is>
          <t>https://www.housefeel.com.tw/article/%E4%B8%AD%E8%B7%AF%E9%87%8D%E5%8A%83%E5%8D%80-%E4%B8%AD%E8%B7%AF%E7%89%B9%E5%8D%80-%E4%B8%AD%E8%B7%AF%E5%BB%BA%E6%A1%88/</t>
        </is>
      </c>
    </row>
    <row r="104">
      <c r="A104" s="5" t="n">
        <v>103</v>
      </c>
      <c r="B104" s="5" t="inlineStr">
        <is>
          <t>桃園市</t>
        </is>
      </c>
      <c r="C104" s="5" t="inlineStr">
        <is>
          <t>A21003</t>
        </is>
      </c>
      <c r="D104" s="5" t="inlineStr">
        <is>
          <t>taoyuan</t>
        </is>
      </c>
      <c r="E104" s="5" t="inlineStr">
        <is>
          <t>中路區段徵收</t>
        </is>
      </c>
      <c r="F104" s="5" t="inlineStr">
        <is>
          <t>區段徵收</t>
        </is>
      </c>
      <c r="G104" s="5" t="inlineStr">
        <is>
          <t>中悅耑悅</t>
        </is>
      </c>
      <c r="H104" s="5" t="inlineStr">
        <is>
          <t>中悅建設</t>
        </is>
      </c>
      <c r="I104" s="5" t="inlineStr">
        <is>
          <t>93戶</t>
        </is>
      </c>
      <c r="J104" s="5" t="inlineStr">
        <is>
          <t>116-122坪</t>
        </is>
      </c>
      <c r="K104" s="5" t="inlineStr">
        <is>
          <t>43.7萬/坪</t>
        </is>
      </c>
      <c r="L104" s="5" t="inlineStr"/>
      <c r="M104" s="5" t="inlineStr">
        <is>
          <t>已完工</t>
        </is>
      </c>
      <c r="N104" s="5" t="inlineStr">
        <is>
          <t>L3</t>
        </is>
      </c>
      <c r="O104" s="5" t="inlineStr">
        <is>
          <t>https://www.housefeel.com.tw/article/%E4%B8%AD%E8%B7%AF%E9%87%8D%E5%8A%83%E5%8D%80-%E4%B8%AD%E8%B7%AF%E7%89%B9%E5%8D%80-%E4%B8%AD%E8%B7%AF%E5%BB%BA%E6%A1%88/</t>
        </is>
      </c>
    </row>
    <row r="105">
      <c r="A105" s="5" t="n">
        <v>104</v>
      </c>
      <c r="B105" s="5" t="inlineStr">
        <is>
          <t>桃園市</t>
        </is>
      </c>
      <c r="C105" s="5" t="inlineStr">
        <is>
          <t>A21003</t>
        </is>
      </c>
      <c r="D105" s="5" t="inlineStr">
        <is>
          <t>taoyuan</t>
        </is>
      </c>
      <c r="E105" s="5" t="inlineStr">
        <is>
          <t>中路區段徵收</t>
        </is>
      </c>
      <c r="F105" s="5" t="inlineStr">
        <is>
          <t>區段徵收</t>
        </is>
      </c>
      <c r="G105" s="5" t="inlineStr">
        <is>
          <t>百俊吾双</t>
        </is>
      </c>
      <c r="H105" s="5" t="inlineStr">
        <is>
          <t>百俊建設</t>
        </is>
      </c>
      <c r="I105" s="5" t="inlineStr">
        <is>
          <t>257戶</t>
        </is>
      </c>
      <c r="J105" s="5" t="inlineStr">
        <is>
          <t>24-68坪</t>
        </is>
      </c>
      <c r="K105" s="5" t="inlineStr">
        <is>
          <t>51.34萬/坪</t>
        </is>
      </c>
      <c r="L105" s="5" t="inlineStr"/>
      <c r="M105" s="5" t="inlineStr">
        <is>
          <t>已完工</t>
        </is>
      </c>
      <c r="N105" s="5" t="inlineStr">
        <is>
          <t>L3</t>
        </is>
      </c>
      <c r="O105" s="5" t="inlineStr">
        <is>
          <t>https://www.housefeel.com.tw/article/%E4%B8%AD%E8%B7%AF%E9%87%8D%E5%8A%83%E5%8D%80-%E4%B8%AD%E8%B7%AF%E7%89%B9%E5%8D%80-%E4%B8%AD%E8%B7%AF%E5%BB%BA%E6%A1%88/</t>
        </is>
      </c>
    </row>
    <row r="106">
      <c r="A106" s="5" t="n">
        <v>105</v>
      </c>
      <c r="B106" s="5" t="inlineStr">
        <is>
          <t>桃園市</t>
        </is>
      </c>
      <c r="C106" s="5" t="inlineStr">
        <is>
          <t>A21003</t>
        </is>
      </c>
      <c r="D106" s="5" t="inlineStr">
        <is>
          <t>taoyuan</t>
        </is>
      </c>
      <c r="E106" s="5" t="inlineStr">
        <is>
          <t>中路區段徵收</t>
        </is>
      </c>
      <c r="F106" s="5" t="inlineStr">
        <is>
          <t>區段徵收</t>
        </is>
      </c>
      <c r="G106" s="5" t="inlineStr">
        <is>
          <t>嘉璟一品硯</t>
        </is>
      </c>
      <c r="H106" s="5" t="inlineStr">
        <is>
          <t>嘉璟建設</t>
        </is>
      </c>
      <c r="I106" s="5" t="inlineStr">
        <is>
          <t>371戶</t>
        </is>
      </c>
      <c r="J106" s="5" t="inlineStr">
        <is>
          <t>29-53坪</t>
        </is>
      </c>
      <c r="K106" s="5" t="inlineStr">
        <is>
          <t>48.46萬/坪</t>
        </is>
      </c>
      <c r="L106" s="5" t="inlineStr"/>
      <c r="M106" s="5" t="inlineStr">
        <is>
          <t>已完工</t>
        </is>
      </c>
      <c r="N106" s="5" t="inlineStr">
        <is>
          <t>L3</t>
        </is>
      </c>
      <c r="O106" s="5" t="inlineStr">
        <is>
          <t>https://www.housefeel.com.tw/article/%E4%B8%AD%E8%B7%AF%E9%87%8D%E5%8A%83%E5%8D%80-%E4%B8%AD%E8%B7%AF%E7%89%B9%E5%8D%80-%E4%B8%AD%E8%B7%AF%E5%BB%BA%E6%A1%88/</t>
        </is>
      </c>
    </row>
    <row r="107">
      <c r="A107" s="5" t="n">
        <v>106</v>
      </c>
      <c r="B107" s="5" t="inlineStr">
        <is>
          <t>桃園市</t>
        </is>
      </c>
      <c r="C107" s="5" t="inlineStr">
        <is>
          <t>A21003</t>
        </is>
      </c>
      <c r="D107" s="5" t="inlineStr">
        <is>
          <t>taoyuan</t>
        </is>
      </c>
      <c r="E107" s="5" t="inlineStr">
        <is>
          <t>中路區段徵收</t>
        </is>
      </c>
      <c r="F107" s="5" t="inlineStr">
        <is>
          <t>區段徵收</t>
        </is>
      </c>
      <c r="G107" s="5" t="inlineStr">
        <is>
          <t>豐邑風禾</t>
        </is>
      </c>
      <c r="H107" s="5" t="inlineStr">
        <is>
          <t>豐邑建設</t>
        </is>
      </c>
      <c r="I107" s="5" t="inlineStr">
        <is>
          <t>150戶</t>
        </is>
      </c>
      <c r="J107" s="5" t="inlineStr">
        <is>
          <t>35-52坪</t>
        </is>
      </c>
      <c r="K107" s="5" t="inlineStr">
        <is>
          <t>50.88萬/坪</t>
        </is>
      </c>
      <c r="L107" s="5" t="inlineStr"/>
      <c r="M107" s="5" t="inlineStr">
        <is>
          <t>已完工</t>
        </is>
      </c>
      <c r="N107" s="5" t="inlineStr">
        <is>
          <t>L3</t>
        </is>
      </c>
      <c r="O107" s="5" t="inlineStr">
        <is>
          <t>https://www.housefeel.com.tw/article/%E4%B8%AD%E8%B7%AF%E9%87%8D%E5%8A%83%E5%8D%80-%E4%B8%AD%E8%B7%AF%E7%89%B9%E5%8D%80-%E4%B8%AD%E8%B7%AF%E5%BB%BA%E6%A1%88/</t>
        </is>
      </c>
    </row>
    <row r="108">
      <c r="A108" s="5" t="n">
        <v>107</v>
      </c>
      <c r="B108" s="5" t="inlineStr">
        <is>
          <t>桃園市</t>
        </is>
      </c>
      <c r="C108" s="5" t="inlineStr">
        <is>
          <t>A21003</t>
        </is>
      </c>
      <c r="D108" s="5" t="inlineStr">
        <is>
          <t>taoyuan</t>
        </is>
      </c>
      <c r="E108" s="5" t="inlineStr">
        <is>
          <t>中路區段徵收</t>
        </is>
      </c>
      <c r="F108" s="5" t="inlineStr">
        <is>
          <t>區段徵收</t>
        </is>
      </c>
      <c r="G108" s="5" t="inlineStr">
        <is>
          <t>璟都米蘭</t>
        </is>
      </c>
      <c r="H108" s="5" t="inlineStr">
        <is>
          <t>璟都建設</t>
        </is>
      </c>
      <c r="I108" s="5" t="inlineStr">
        <is>
          <t>350戶</t>
        </is>
      </c>
      <c r="J108" s="5" t="inlineStr">
        <is>
          <t>21-47坪</t>
        </is>
      </c>
      <c r="K108" s="5" t="inlineStr">
        <is>
          <t>47.78萬/坪</t>
        </is>
      </c>
      <c r="L108" s="5" t="inlineStr"/>
      <c r="M108" s="5" t="inlineStr">
        <is>
          <t>已完工</t>
        </is>
      </c>
      <c r="N108" s="5" t="inlineStr">
        <is>
          <t>L3</t>
        </is>
      </c>
      <c r="O108" s="5" t="inlineStr">
        <is>
          <t>https://www.housefeel.com.tw/article/%E4%B8%AD%E8%B7%AF%E9%87%8D%E5%8A%83%E5%8D%80-%E4%B8%AD%E8%B7%AF%E7%89%B9%E5%8D%80-%E4%B8%AD%E8%B7%AF%E5%BB%BA%E6%A1%88/</t>
        </is>
      </c>
    </row>
    <row r="109">
      <c r="A109" s="5" t="n">
        <v>108</v>
      </c>
      <c r="B109" s="5" t="inlineStr">
        <is>
          <t>桃園市</t>
        </is>
      </c>
      <c r="C109" s="5" t="inlineStr">
        <is>
          <t>A21003</t>
        </is>
      </c>
      <c r="D109" s="5" t="inlineStr">
        <is>
          <t>taoyuan</t>
        </is>
      </c>
      <c r="E109" s="5" t="inlineStr">
        <is>
          <t>中路區段徵收</t>
        </is>
      </c>
      <c r="F109" s="5" t="inlineStr">
        <is>
          <t>區段徵收</t>
        </is>
      </c>
      <c r="G109" s="5" t="inlineStr">
        <is>
          <t>大觀雲滙</t>
        </is>
      </c>
      <c r="H109" s="5" t="inlineStr">
        <is>
          <t>大觀建設</t>
        </is>
      </c>
      <c r="I109" s="5" t="inlineStr">
        <is>
          <t>130戶</t>
        </is>
      </c>
      <c r="J109" s="5" t="inlineStr">
        <is>
          <t>41-56坪</t>
        </is>
      </c>
      <c r="K109" s="5" t="inlineStr">
        <is>
          <t>44.06萬/坪</t>
        </is>
      </c>
      <c r="L109" s="5" t="inlineStr"/>
      <c r="M109" s="5" t="inlineStr">
        <is>
          <t>已完工</t>
        </is>
      </c>
      <c r="N109" s="5" t="inlineStr">
        <is>
          <t>L3</t>
        </is>
      </c>
      <c r="O109" s="5" t="inlineStr">
        <is>
          <t>https://www.housefeel.com.tw/article/%E4%B8%AD%E8%B7%AF%E9%87%8D%E5%8A%83%E5%8D%80-%E4%B8%AD%E8%B7%AF%E7%89%B9%E5%8D%80-%E4%B8%AD%E8%B7%AF%E5%BB%BA%E6%A1%88/</t>
        </is>
      </c>
    </row>
    <row r="110">
      <c r="A110" s="5" t="n">
        <v>109</v>
      </c>
      <c r="B110" s="5" t="inlineStr">
        <is>
          <t>桃園市</t>
        </is>
      </c>
      <c r="C110" s="5" t="inlineStr">
        <is>
          <t>A21003</t>
        </is>
      </c>
      <c r="D110" s="5" t="inlineStr">
        <is>
          <t>taoyuan</t>
        </is>
      </c>
      <c r="E110" s="5" t="inlineStr">
        <is>
          <t>中路區段徵收</t>
        </is>
      </c>
      <c r="F110" s="5" t="inlineStr">
        <is>
          <t>區段徵收</t>
        </is>
      </c>
      <c r="G110" s="5" t="inlineStr">
        <is>
          <t>昭揚天寬</t>
        </is>
      </c>
      <c r="H110" s="5" t="inlineStr">
        <is>
          <t>昭揚建設</t>
        </is>
      </c>
      <c r="I110" s="5" t="inlineStr">
        <is>
          <t>92戶</t>
        </is>
      </c>
      <c r="J110" s="5" t="inlineStr">
        <is>
          <t>72坪</t>
        </is>
      </c>
      <c r="K110" s="5" t="inlineStr"/>
      <c r="L110" s="5" t="inlineStr"/>
      <c r="M110" s="5" t="inlineStr">
        <is>
          <t>已完工</t>
        </is>
      </c>
      <c r="N110" s="5" t="inlineStr">
        <is>
          <t>L3</t>
        </is>
      </c>
      <c r="O110" s="5" t="inlineStr">
        <is>
          <t>https://www.housefeel.com.tw/article/%E4%B8%AD%E8%B7%AF%E9%87%8D%E5%8A%83%E5%8D%80-%E4%B8%AD%E8%B7%AF%E7%89%B9%E5%8D%80-%E4%B8%AD%E8%B7%AF%E5%BB%BA%E6%A1%88/</t>
        </is>
      </c>
    </row>
    <row r="111">
      <c r="A111" s="5" t="n">
        <v>110</v>
      </c>
      <c r="B111" s="5" t="inlineStr">
        <is>
          <t>桃園市</t>
        </is>
      </c>
      <c r="C111" s="5" t="inlineStr">
        <is>
          <t>A21003</t>
        </is>
      </c>
      <c r="D111" s="5" t="inlineStr">
        <is>
          <t>taoyuan</t>
        </is>
      </c>
      <c r="E111" s="5" t="inlineStr">
        <is>
          <t>中路區段徵收</t>
        </is>
      </c>
      <c r="F111" s="5" t="inlineStr">
        <is>
          <t>區段徵收</t>
        </is>
      </c>
      <c r="G111" s="5" t="inlineStr">
        <is>
          <t>昭揚天地</t>
        </is>
      </c>
      <c r="H111" s="5" t="inlineStr">
        <is>
          <t>昭揚建設</t>
        </is>
      </c>
      <c r="I111" s="5" t="inlineStr">
        <is>
          <t>124戶</t>
        </is>
      </c>
      <c r="J111" s="5" t="inlineStr">
        <is>
          <t>62-101坪</t>
        </is>
      </c>
      <c r="K111" s="5" t="inlineStr">
        <is>
          <t>37.30萬/坪</t>
        </is>
      </c>
      <c r="L111" s="5" t="inlineStr"/>
      <c r="M111" s="5" t="inlineStr">
        <is>
          <t>已完工</t>
        </is>
      </c>
      <c r="N111" s="5" t="inlineStr">
        <is>
          <t>L3</t>
        </is>
      </c>
      <c r="O111" s="5" t="inlineStr">
        <is>
          <t>https://www.housefeel.com.tw/article/%E4%B8%AD%E8%B7%AF%E9%87%8D%E5%8A%83%E5%8D%80-%E4%B8%AD%E8%B7%AF%E7%89%B9%E5%8D%80-%E4%B8%AD%E8%B7%AF%E5%BB%BA%E6%A1%88/</t>
        </is>
      </c>
    </row>
    <row r="112">
      <c r="A112" s="5" t="n">
        <v>111</v>
      </c>
      <c r="B112" s="5" t="inlineStr">
        <is>
          <t>桃園市</t>
        </is>
      </c>
      <c r="C112" s="5" t="inlineStr">
        <is>
          <t>A21003</t>
        </is>
      </c>
      <c r="D112" s="5" t="inlineStr">
        <is>
          <t>taoyuan</t>
        </is>
      </c>
      <c r="E112" s="5" t="inlineStr">
        <is>
          <t>中路區段徵收</t>
        </is>
      </c>
      <c r="F112" s="5" t="inlineStr">
        <is>
          <t>區段徵收</t>
        </is>
      </c>
      <c r="G112" s="5" t="inlineStr">
        <is>
          <t>鉑克棶</t>
        </is>
      </c>
      <c r="H112" s="5" t="inlineStr">
        <is>
          <t>鉑克建設</t>
        </is>
      </c>
      <c r="I112" s="5" t="inlineStr">
        <is>
          <t>346戶</t>
        </is>
      </c>
      <c r="J112" s="5" t="inlineStr">
        <is>
          <t>25-36坪</t>
        </is>
      </c>
      <c r="K112" s="5" t="inlineStr"/>
      <c r="L112" s="5" t="inlineStr"/>
      <c r="M112" s="5" t="inlineStr">
        <is>
          <t>已完工</t>
        </is>
      </c>
      <c r="N112" s="5" t="inlineStr">
        <is>
          <t>L3</t>
        </is>
      </c>
      <c r="O112" s="5" t="inlineStr">
        <is>
          <t>https://www.housefeel.com.tw/article/%E4%B8%AD%E8%B7%AF%E9%87%8D%E5%8A%83%E5%8D%80-%E4%B8%AD%E8%B7%AF%E7%89%B9%E5%8D%80-%E4%B8%AD%E8%B7%AF%E5%BB%BA%E6%A1%88/</t>
        </is>
      </c>
    </row>
    <row r="113">
      <c r="A113" s="5" t="n">
        <v>112</v>
      </c>
      <c r="B113" s="5" t="inlineStr">
        <is>
          <t>桃園市</t>
        </is>
      </c>
      <c r="C113" s="5" t="inlineStr">
        <is>
          <t>A21003</t>
        </is>
      </c>
      <c r="D113" s="5" t="inlineStr">
        <is>
          <t>taoyuan</t>
        </is>
      </c>
      <c r="E113" s="5" t="inlineStr">
        <is>
          <t>中路區段徵收</t>
        </is>
      </c>
      <c r="F113" s="5" t="inlineStr">
        <is>
          <t>區段徵收</t>
        </is>
      </c>
      <c r="G113" s="5" t="inlineStr">
        <is>
          <t>昭揚大臻</t>
        </is>
      </c>
      <c r="H113" s="5" t="inlineStr">
        <is>
          <t>昭揚建設</t>
        </is>
      </c>
      <c r="I113" s="5" t="inlineStr">
        <is>
          <t>92戶</t>
        </is>
      </c>
      <c r="J113" s="5" t="inlineStr">
        <is>
          <t>27-50坪</t>
        </is>
      </c>
      <c r="K113" s="5" t="inlineStr"/>
      <c r="L113" s="5" t="inlineStr"/>
      <c r="M113" s="5" t="inlineStr">
        <is>
          <t>預售</t>
        </is>
      </c>
      <c r="N113" s="5" t="inlineStr">
        <is>
          <t>L3</t>
        </is>
      </c>
      <c r="O113" s="5" t="inlineStr">
        <is>
          <t>https://www.housefeel.com.tw/article/%E4%B8%AD%E8%B7%AF%E9%87%8D%E5%8A%83%E5%8D%80-%E4%B8%AD%E8%B7%AF%E7%89%B9%E5%8D%80-%E4%B8%AD%E8%B7%AF%E5%BB%BA%E6%A1%88/</t>
        </is>
      </c>
    </row>
    <row r="114">
      <c r="A114" s="5" t="n">
        <v>113</v>
      </c>
      <c r="B114" s="5" t="inlineStr">
        <is>
          <t>桃園市</t>
        </is>
      </c>
      <c r="C114" s="5" t="inlineStr">
        <is>
          <t>A21003</t>
        </is>
      </c>
      <c r="D114" s="5" t="inlineStr">
        <is>
          <t>taoyuan</t>
        </is>
      </c>
      <c r="E114" s="5" t="inlineStr">
        <is>
          <t>中路區段徵收</t>
        </is>
      </c>
      <c r="F114" s="5" t="inlineStr">
        <is>
          <t>區段徵收</t>
        </is>
      </c>
      <c r="G114" s="5" t="inlineStr">
        <is>
          <t>國泰GRAND PARK</t>
        </is>
      </c>
      <c r="H114" s="5" t="inlineStr">
        <is>
          <t>國泰建設</t>
        </is>
      </c>
      <c r="I114" s="5" t="inlineStr">
        <is>
          <t>112戶</t>
        </is>
      </c>
      <c r="J114" s="5" t="inlineStr">
        <is>
          <t>62-67坪</t>
        </is>
      </c>
      <c r="K114" s="5" t="inlineStr">
        <is>
          <t>62.26萬/坪</t>
        </is>
      </c>
      <c r="L114" s="5" t="inlineStr"/>
      <c r="M114" s="5" t="inlineStr">
        <is>
          <t>預售</t>
        </is>
      </c>
      <c r="N114" s="5" t="inlineStr">
        <is>
          <t>L3</t>
        </is>
      </c>
      <c r="O114" s="5" t="inlineStr">
        <is>
          <t>https://www.housefeel.com.tw/article/%E4%B8%AD%E8%B7%AF%E9%87%8D%E5%8A%83%E5%8D%80-%E4%B8%AD%E8%B7%AF%E7%89%B9%E5%8D%80-%E4%B8%AD%E8%B7%AF%E5%BB%BA%E6%A1%88/</t>
        </is>
      </c>
    </row>
    <row r="115">
      <c r="A115" s="5" t="n">
        <v>114</v>
      </c>
      <c r="B115" s="5" t="inlineStr">
        <is>
          <t>桃園市</t>
        </is>
      </c>
      <c r="C115" s="5" t="inlineStr">
        <is>
          <t>A21003</t>
        </is>
      </c>
      <c r="D115" s="5" t="inlineStr">
        <is>
          <t>taoyuan</t>
        </is>
      </c>
      <c r="E115" s="5" t="inlineStr">
        <is>
          <t>中路區段徵收</t>
        </is>
      </c>
      <c r="F115" s="5" t="inlineStr">
        <is>
          <t>區段徵收</t>
        </is>
      </c>
      <c r="G115" s="5" t="inlineStr">
        <is>
          <t>遠傳SKY GARDEN</t>
        </is>
      </c>
      <c r="H115" s="5" t="inlineStr">
        <is>
          <t>遠傳建設</t>
        </is>
      </c>
      <c r="I115" s="5" t="inlineStr">
        <is>
          <t>92戶</t>
        </is>
      </c>
      <c r="J115" s="5" t="inlineStr">
        <is>
          <t>72-156坪</t>
        </is>
      </c>
      <c r="K115" s="5" t="inlineStr">
        <is>
          <t>73.66萬/坪</t>
        </is>
      </c>
      <c r="L115" s="5" t="inlineStr"/>
      <c r="M115" s="5" t="inlineStr">
        <is>
          <t>預售</t>
        </is>
      </c>
      <c r="N115" s="5" t="inlineStr">
        <is>
          <t>L3</t>
        </is>
      </c>
      <c r="O115" s="5" t="inlineStr">
        <is>
          <t>https://www.housefeel.com.tw/article/%E4%B8%AD%E8%B7%AF%E9%87%8D%E5%8A%83%E5%8D%80-%E4%B8%AD%E8%B7%AF%E7%89%B9%E5%8D%80-%E4%B8%AD%E8%B7%AF%E5%BB%BA%E6%A1%88/</t>
        </is>
      </c>
    </row>
    <row r="116">
      <c r="A116" s="5" t="n">
        <v>115</v>
      </c>
      <c r="B116" s="5" t="inlineStr">
        <is>
          <t>桃園市</t>
        </is>
      </c>
      <c r="C116" s="5" t="inlineStr">
        <is>
          <t>A21003</t>
        </is>
      </c>
      <c r="D116" s="5" t="inlineStr">
        <is>
          <t>taoyuan</t>
        </is>
      </c>
      <c r="E116" s="5" t="inlineStr">
        <is>
          <t>中路區段徵收</t>
        </is>
      </c>
      <c r="F116" s="5" t="inlineStr">
        <is>
          <t>區段徵收</t>
        </is>
      </c>
      <c r="G116" s="5" t="inlineStr">
        <is>
          <t>國泰水秀</t>
        </is>
      </c>
      <c r="H116" s="5" t="inlineStr">
        <is>
          <t>國泰建設</t>
        </is>
      </c>
      <c r="I116" s="5" t="inlineStr">
        <is>
          <t>85戶</t>
        </is>
      </c>
      <c r="J116" s="5" t="inlineStr">
        <is>
          <t>38-53坪</t>
        </is>
      </c>
      <c r="K116" s="5" t="inlineStr">
        <is>
          <t>54.64萬/坪</t>
        </is>
      </c>
      <c r="L116" s="5" t="inlineStr"/>
      <c r="M116" s="5" t="inlineStr">
        <is>
          <t>已完工</t>
        </is>
      </c>
      <c r="N116" s="5" t="inlineStr">
        <is>
          <t>L3</t>
        </is>
      </c>
      <c r="O116" s="5" t="inlineStr">
        <is>
          <t>https://www.housefeel.com.tw/article/%E4%B8%AD%E8%B7%AF%E9%87%8D%E5%8A%83%E5%8D%80-%E4%B8%AD%E8%B7%AF%E7%89%B9%E5%8D%80-%E4%B8%AD%E8%B7%AF%E5%BB%BA%E6%A1%88/</t>
        </is>
      </c>
    </row>
    <row r="117">
      <c r="A117" s="5" t="n">
        <v>116</v>
      </c>
      <c r="B117" s="5" t="inlineStr">
        <is>
          <t>桃園市</t>
        </is>
      </c>
      <c r="C117" s="5" t="inlineStr">
        <is>
          <t>A21003</t>
        </is>
      </c>
      <c r="D117" s="5" t="inlineStr">
        <is>
          <t>taoyuan</t>
        </is>
      </c>
      <c r="E117" s="5" t="inlineStr">
        <is>
          <t>中路區段徵收</t>
        </is>
      </c>
      <c r="F117" s="5" t="inlineStr">
        <is>
          <t>區段徵收</t>
        </is>
      </c>
      <c r="G117" s="5" t="inlineStr">
        <is>
          <t>京澄軒朗</t>
        </is>
      </c>
      <c r="H117" s="5" t="inlineStr">
        <is>
          <t>京澄建設</t>
        </is>
      </c>
      <c r="I117" s="5" t="inlineStr">
        <is>
          <t>65戶</t>
        </is>
      </c>
      <c r="J117" s="5" t="inlineStr">
        <is>
          <t>38-47坪</t>
        </is>
      </c>
      <c r="K117" s="5" t="inlineStr"/>
      <c r="L117" s="5" t="inlineStr"/>
      <c r="M117" s="5" t="inlineStr">
        <is>
          <t>已完工</t>
        </is>
      </c>
      <c r="N117" s="5" t="inlineStr">
        <is>
          <t>L3</t>
        </is>
      </c>
      <c r="O117" s="5" t="inlineStr">
        <is>
          <t>https://www.housefeel.com.tw/article/%E4%B8%AD%E8%B7%AF%E9%87%8D%E5%8A%83%E5%8D%80-%E4%B8%AD%E8%B7%AF%E7%89%B9%E5%8D%80-%E4%B8%AD%E8%B7%AF%E5%BB%BA%E6%A1%88/</t>
        </is>
      </c>
    </row>
    <row r="118">
      <c r="A118" s="5" t="n">
        <v>117</v>
      </c>
      <c r="B118" s="5" t="inlineStr">
        <is>
          <t>桃園市</t>
        </is>
      </c>
      <c r="C118" s="5" t="inlineStr">
        <is>
          <t>A21003</t>
        </is>
      </c>
      <c r="D118" s="5" t="inlineStr">
        <is>
          <t>taoyuan</t>
        </is>
      </c>
      <c r="E118" s="5" t="inlineStr">
        <is>
          <t>中路區段徵收</t>
        </is>
      </c>
      <c r="F118" s="5" t="inlineStr">
        <is>
          <t>區段徵收</t>
        </is>
      </c>
      <c r="G118" s="5" t="inlineStr">
        <is>
          <t>文中匯</t>
        </is>
      </c>
      <c r="H118" s="5" t="inlineStr"/>
      <c r="I118" s="5" t="inlineStr">
        <is>
          <t>86戶</t>
        </is>
      </c>
      <c r="J118" s="5" t="inlineStr">
        <is>
          <t>27-39坪</t>
        </is>
      </c>
      <c r="K118" s="5" t="inlineStr">
        <is>
          <t>41.59萬/坪</t>
        </is>
      </c>
      <c r="L118" s="5" t="inlineStr"/>
      <c r="M118" s="5" t="inlineStr">
        <is>
          <t>已完工</t>
        </is>
      </c>
      <c r="N118" s="5" t="inlineStr">
        <is>
          <t>L3</t>
        </is>
      </c>
      <c r="O118" s="5" t="inlineStr">
        <is>
          <t>https://www.housefeel.com.tw/article/%E4%B8%AD%E8%B7%AF%E9%87%8D%E5%8A%83%E5%8D%80-%E4%B8%AD%E8%B7%AF%E7%89%B9%E5%8D%80-%E4%B8%AD%E8%B7%AF%E5%BB%BA%E6%A1%88/</t>
        </is>
      </c>
    </row>
    <row r="119">
      <c r="A119" s="5" t="n">
        <v>118</v>
      </c>
      <c r="B119" s="5" t="inlineStr">
        <is>
          <t>桃園市</t>
        </is>
      </c>
      <c r="C119" s="5" t="inlineStr">
        <is>
          <t>A21003</t>
        </is>
      </c>
      <c r="D119" s="5" t="inlineStr">
        <is>
          <t>taoyuan</t>
        </is>
      </c>
      <c r="E119" s="5" t="inlineStr">
        <is>
          <t>中路區段徵收</t>
        </is>
      </c>
      <c r="F119" s="5" t="inlineStr">
        <is>
          <t>區段徵收</t>
        </is>
      </c>
      <c r="G119" s="5" t="inlineStr">
        <is>
          <t>昭揚君麗</t>
        </is>
      </c>
      <c r="H119" s="5" t="inlineStr">
        <is>
          <t>昭揚建設</t>
        </is>
      </c>
      <c r="I119" s="5" t="inlineStr">
        <is>
          <t>56戶</t>
        </is>
      </c>
      <c r="J119" s="5" t="inlineStr">
        <is>
          <t>42-52坪</t>
        </is>
      </c>
      <c r="K119" s="5" t="inlineStr"/>
      <c r="L119" s="5" t="inlineStr"/>
      <c r="M119" s="5" t="inlineStr">
        <is>
          <t>已完工</t>
        </is>
      </c>
      <c r="N119" s="5" t="inlineStr">
        <is>
          <t>L3</t>
        </is>
      </c>
      <c r="O119" s="5" t="inlineStr">
        <is>
          <t>https://www.housefeel.com.tw/article/%E4%B8%AD%E8%B7%AF%E9%87%8D%E5%8A%83%E5%8D%80-%E4%B8%AD%E8%B7%AF%E7%89%B9%E5%8D%80-%E4%B8%AD%E8%B7%AF%E5%BB%BA%E6%A1%88/</t>
        </is>
      </c>
    </row>
    <row r="120">
      <c r="A120" s="5" t="n">
        <v>119</v>
      </c>
      <c r="B120" s="5" t="inlineStr">
        <is>
          <t>桃園市</t>
        </is>
      </c>
      <c r="C120" s="5" t="inlineStr">
        <is>
          <t>A21003</t>
        </is>
      </c>
      <c r="D120" s="5" t="inlineStr">
        <is>
          <t>taoyuan</t>
        </is>
      </c>
      <c r="E120" s="5" t="inlineStr">
        <is>
          <t>中路區段徵收</t>
        </is>
      </c>
      <c r="F120" s="5" t="inlineStr">
        <is>
          <t>區段徵收</t>
        </is>
      </c>
      <c r="G120" s="5" t="inlineStr">
        <is>
          <t>昭揚君喆</t>
        </is>
      </c>
      <c r="H120" s="5" t="inlineStr">
        <is>
          <t>昭揚建設</t>
        </is>
      </c>
      <c r="I120" s="5" t="inlineStr">
        <is>
          <t>90戶</t>
        </is>
      </c>
      <c r="J120" s="5" t="inlineStr">
        <is>
          <t>38-52坪</t>
        </is>
      </c>
      <c r="K120" s="5" t="inlineStr">
        <is>
          <t>43.94萬/坪</t>
        </is>
      </c>
      <c r="L120" s="5" t="inlineStr"/>
      <c r="M120" s="5" t="inlineStr">
        <is>
          <t>已完工</t>
        </is>
      </c>
      <c r="N120" s="5" t="inlineStr">
        <is>
          <t>L3</t>
        </is>
      </c>
      <c r="O120" s="5" t="inlineStr">
        <is>
          <t>https://www.housefeel.com.tw/article/%E4%B8%AD%E8%B7%AF%E9%87%8D%E5%8A%83%E5%8D%80-%E4%B8%AD%E8%B7%AF%E7%89%B9%E5%8D%80-%E4%B8%AD%E8%B7%AF%E5%BB%BA%E6%A1%88/</t>
        </is>
      </c>
    </row>
    <row r="121">
      <c r="A121" s="5" t="n">
        <v>120</v>
      </c>
      <c r="B121" s="5" t="inlineStr">
        <is>
          <t>桃園市</t>
        </is>
      </c>
      <c r="C121" s="5" t="inlineStr">
        <is>
          <t>A21003</t>
        </is>
      </c>
      <c r="D121" s="5" t="inlineStr">
        <is>
          <t>taoyuan</t>
        </is>
      </c>
      <c r="E121" s="5" t="inlineStr">
        <is>
          <t>中路區段徵收</t>
        </is>
      </c>
      <c r="F121" s="5" t="inlineStr">
        <is>
          <t>區段徵收</t>
        </is>
      </c>
      <c r="G121" s="5" t="inlineStr">
        <is>
          <t>京澄雲朗</t>
        </is>
      </c>
      <c r="H121" s="5" t="inlineStr">
        <is>
          <t>京澄建設</t>
        </is>
      </c>
      <c r="I121" s="5" t="inlineStr">
        <is>
          <t>42戶</t>
        </is>
      </c>
      <c r="J121" s="5" t="inlineStr">
        <is>
          <t>39-50坪</t>
        </is>
      </c>
      <c r="K121" s="5" t="inlineStr"/>
      <c r="L121" s="5" t="inlineStr"/>
      <c r="M121" s="5" t="inlineStr">
        <is>
          <t>已完工</t>
        </is>
      </c>
      <c r="N121" s="5" t="inlineStr">
        <is>
          <t>L3</t>
        </is>
      </c>
      <c r="O121" s="5" t="inlineStr">
        <is>
          <t>https://www.housefeel.com.tw/article/%E4%B8%AD%E8%B7%AF%E9%87%8D%E5%8A%83%E5%8D%80-%E4%B8%AD%E8%B7%AF%E7%89%B9%E5%8D%80-%E4%B8%AD%E8%B7%AF%E5%BB%BA%E6%A1%88/</t>
        </is>
      </c>
    </row>
    <row r="122">
      <c r="A122" s="5" t="n">
        <v>121</v>
      </c>
      <c r="B122" s="5" t="inlineStr">
        <is>
          <t>桃園市</t>
        </is>
      </c>
      <c r="C122" s="5" t="inlineStr">
        <is>
          <t>A21003</t>
        </is>
      </c>
      <c r="D122" s="5" t="inlineStr">
        <is>
          <t>taoyuan</t>
        </is>
      </c>
      <c r="E122" s="5" t="inlineStr">
        <is>
          <t>中路區段徵收</t>
        </is>
      </c>
      <c r="F122" s="5" t="inlineStr">
        <is>
          <t>區段徵收</t>
        </is>
      </c>
      <c r="G122" s="5" t="inlineStr">
        <is>
          <t>尊勝白金花園</t>
        </is>
      </c>
      <c r="H122" s="5" t="inlineStr">
        <is>
          <t>尊勝建設</t>
        </is>
      </c>
      <c r="I122" s="5" t="inlineStr">
        <is>
          <t>165戶</t>
        </is>
      </c>
      <c r="J122" s="5" t="inlineStr">
        <is>
          <t>22-62坪</t>
        </is>
      </c>
      <c r="K122" s="5" t="inlineStr">
        <is>
          <t>43.32萬/坪</t>
        </is>
      </c>
      <c r="L122" s="5" t="inlineStr"/>
      <c r="M122" s="5" t="inlineStr">
        <is>
          <t>已完工</t>
        </is>
      </c>
      <c r="N122" s="5" t="inlineStr">
        <is>
          <t>L3</t>
        </is>
      </c>
      <c r="O122" s="5" t="inlineStr">
        <is>
          <t>https://www.housefeel.com.tw/article/%E4%B8%AD%E8%B7%AF%E9%87%8D%E5%8A%83%E5%8D%80-%E4%B8%AD%E8%B7%AF%E7%89%B9%E5%8D%80-%E4%B8%AD%E8%B7%AF%E5%BB%BA%E6%A1%88/</t>
        </is>
      </c>
    </row>
    <row r="123">
      <c r="A123" s="5" t="n">
        <v>122</v>
      </c>
      <c r="B123" s="5" t="inlineStr">
        <is>
          <t>桃園市</t>
        </is>
      </c>
      <c r="C123" s="5" t="inlineStr">
        <is>
          <t>A21003</t>
        </is>
      </c>
      <c r="D123" s="5" t="inlineStr">
        <is>
          <t>taoyuan</t>
        </is>
      </c>
      <c r="E123" s="5" t="inlineStr">
        <is>
          <t>中路區段徵收</t>
        </is>
      </c>
      <c r="F123" s="5" t="inlineStr">
        <is>
          <t>區段徵收</t>
        </is>
      </c>
      <c r="G123" s="5" t="inlineStr">
        <is>
          <t>昭揚君邸</t>
        </is>
      </c>
      <c r="H123" s="5" t="inlineStr">
        <is>
          <t>昭揚建設</t>
        </is>
      </c>
      <c r="I123" s="5" t="inlineStr">
        <is>
          <t>114戶</t>
        </is>
      </c>
      <c r="J123" s="5" t="inlineStr">
        <is>
          <t>43-56坪</t>
        </is>
      </c>
      <c r="K123" s="5" t="inlineStr"/>
      <c r="L123" s="5" t="inlineStr"/>
      <c r="M123" s="5" t="inlineStr">
        <is>
          <t>已完工</t>
        </is>
      </c>
      <c r="N123" s="5" t="inlineStr">
        <is>
          <t>L3</t>
        </is>
      </c>
      <c r="O123" s="5" t="inlineStr">
        <is>
          <t>https://www.housefeel.com.tw/article/%E4%B8%AD%E8%B7%AF%E9%87%8D%E5%8A%83%E5%8D%80-%E4%B8%AD%E8%B7%AF%E7%89%B9%E5%8D%80-%E4%B8%AD%E8%B7%AF%E5%BB%BA%E6%A1%88/</t>
        </is>
      </c>
    </row>
    <row r="124">
      <c r="A124" s="5" t="n">
        <v>123</v>
      </c>
      <c r="B124" s="5" t="inlineStr">
        <is>
          <t>桃園市</t>
        </is>
      </c>
      <c r="C124" s="5" t="inlineStr">
        <is>
          <t>A21003</t>
        </is>
      </c>
      <c r="D124" s="5" t="inlineStr">
        <is>
          <t>taoyuan</t>
        </is>
      </c>
      <c r="E124" s="5" t="inlineStr">
        <is>
          <t>中路區段徵收</t>
        </is>
      </c>
      <c r="F124" s="5" t="inlineStr">
        <is>
          <t>區段徵收</t>
        </is>
      </c>
      <c r="G124" s="5" t="inlineStr">
        <is>
          <t>利晉學府</t>
        </is>
      </c>
      <c r="H124" s="5" t="inlineStr">
        <is>
          <t>利晉建設</t>
        </is>
      </c>
      <c r="I124" s="5" t="inlineStr">
        <is>
          <t>72戶</t>
        </is>
      </c>
      <c r="J124" s="5" t="inlineStr">
        <is>
          <t>43-50坪</t>
        </is>
      </c>
      <c r="K124" s="5" t="inlineStr"/>
      <c r="L124" s="5" t="inlineStr"/>
      <c r="M124" s="5" t="inlineStr">
        <is>
          <t>已完工</t>
        </is>
      </c>
      <c r="N124" s="5" t="inlineStr">
        <is>
          <t>L3</t>
        </is>
      </c>
      <c r="O124" s="5" t="inlineStr">
        <is>
          <t>https://www.housefeel.com.tw/article/%E4%B8%AD%E8%B7%AF%E9%87%8D%E5%8A%83%E5%8D%80-%E4%B8%AD%E8%B7%AF%E7%89%B9%E5%8D%80-%E4%B8%AD%E8%B7%AF%E5%BB%BA%E6%A1%88/</t>
        </is>
      </c>
    </row>
    <row r="125">
      <c r="A125" s="5" t="n">
        <v>124</v>
      </c>
      <c r="B125" s="5" t="inlineStr">
        <is>
          <t>桃園市</t>
        </is>
      </c>
      <c r="C125" s="5" t="inlineStr">
        <is>
          <t>A21003</t>
        </is>
      </c>
      <c r="D125" s="5" t="inlineStr">
        <is>
          <t>taoyuan</t>
        </is>
      </c>
      <c r="E125" s="5" t="inlineStr">
        <is>
          <t>中路區段徵收</t>
        </is>
      </c>
      <c r="F125" s="5" t="inlineStr">
        <is>
          <t>區段徵收</t>
        </is>
      </c>
      <c r="G125" s="5" t="inlineStr">
        <is>
          <t>益騏新画峰</t>
        </is>
      </c>
      <c r="H125" s="5" t="inlineStr">
        <is>
          <t>益騏建設</t>
        </is>
      </c>
      <c r="I125" s="5" t="inlineStr">
        <is>
          <t>245戶</t>
        </is>
      </c>
      <c r="J125" s="5" t="inlineStr">
        <is>
          <t>26-37坪</t>
        </is>
      </c>
      <c r="K125" s="5" t="inlineStr">
        <is>
          <t>50.76萬/坪</t>
        </is>
      </c>
      <c r="L125" s="5" t="inlineStr"/>
      <c r="M125" s="5" t="inlineStr">
        <is>
          <t>已完工</t>
        </is>
      </c>
      <c r="N125" s="5" t="inlineStr">
        <is>
          <t>L3</t>
        </is>
      </c>
      <c r="O125" s="5" t="inlineStr">
        <is>
          <t>https://www.housefeel.com.tw/article/%E4%B8%AD%E8%B7%AF%E9%87%8D%E5%8A%83%E5%8D%80-%E4%B8%AD%E8%B7%AF%E7%89%B9%E5%8D%80-%E4%B8%AD%E8%B7%AF%E5%BB%BA%E6%A1%88/</t>
        </is>
      </c>
    </row>
    <row r="126">
      <c r="A126" s="5" t="n">
        <v>125</v>
      </c>
      <c r="B126" s="5" t="inlineStr">
        <is>
          <t>桃園市</t>
        </is>
      </c>
      <c r="C126" s="5" t="inlineStr">
        <is>
          <t>A21003</t>
        </is>
      </c>
      <c r="D126" s="5" t="inlineStr">
        <is>
          <t>taoyuan</t>
        </is>
      </c>
      <c r="E126" s="5" t="inlineStr">
        <is>
          <t>中路區段徵收</t>
        </is>
      </c>
      <c r="F126" s="5" t="inlineStr">
        <is>
          <t>區段徵收</t>
        </is>
      </c>
      <c r="G126" s="5" t="inlineStr">
        <is>
          <t>國際ONE</t>
        </is>
      </c>
      <c r="H126" s="5" t="inlineStr"/>
      <c r="I126" s="5" t="inlineStr">
        <is>
          <t>77戶</t>
        </is>
      </c>
      <c r="J126" s="5" t="inlineStr">
        <is>
          <t>26-44坪</t>
        </is>
      </c>
      <c r="K126" s="5" t="inlineStr">
        <is>
          <t>50.86萬/坪</t>
        </is>
      </c>
      <c r="L126" s="5" t="inlineStr"/>
      <c r="M126" s="5" t="inlineStr">
        <is>
          <t>已完工</t>
        </is>
      </c>
      <c r="N126" s="5" t="inlineStr">
        <is>
          <t>L3</t>
        </is>
      </c>
      <c r="O126" s="5" t="inlineStr">
        <is>
          <t>https://www.housefeel.com.tw/article/%E4%B8%AD%E8%B7%AF%E9%87%8D%E5%8A%83%E5%8D%80-%E4%B8%AD%E8%B7%AF%E7%89%B9%E5%8D%80-%E4%B8%AD%E8%B7%AF%E5%BB%BA%E6%A1%88/</t>
        </is>
      </c>
    </row>
    <row r="127">
      <c r="A127" s="5" t="n">
        <v>126</v>
      </c>
      <c r="B127" s="5" t="inlineStr">
        <is>
          <t>桃園市</t>
        </is>
      </c>
      <c r="C127" s="5" t="inlineStr">
        <is>
          <t>A21003</t>
        </is>
      </c>
      <c r="D127" s="5" t="inlineStr">
        <is>
          <t>taoyuan</t>
        </is>
      </c>
      <c r="E127" s="5" t="inlineStr">
        <is>
          <t>中路區段徵收</t>
        </is>
      </c>
      <c r="F127" s="5" t="inlineStr">
        <is>
          <t>區段徵收</t>
        </is>
      </c>
      <c r="G127" s="5" t="inlineStr">
        <is>
          <t>悅佳謙悅</t>
        </is>
      </c>
      <c r="H127" s="5" t="inlineStr">
        <is>
          <t>悅佳建設</t>
        </is>
      </c>
      <c r="I127" s="5" t="inlineStr">
        <is>
          <t>91戶</t>
        </is>
      </c>
      <c r="J127" s="5" t="inlineStr">
        <is>
          <t>26-36坪</t>
        </is>
      </c>
      <c r="K127" s="5" t="inlineStr">
        <is>
          <t>50.45萬/坪</t>
        </is>
      </c>
      <c r="L127" s="5" t="inlineStr"/>
      <c r="M127" s="5" t="inlineStr">
        <is>
          <t>已完工</t>
        </is>
      </c>
      <c r="N127" s="5" t="inlineStr">
        <is>
          <t>L3</t>
        </is>
      </c>
      <c r="O127" s="5" t="inlineStr">
        <is>
          <t>https://www.housefeel.com.tw/article/%E4%B8%AD%E8%B7%AF%E9%87%8D%E5%8A%83%E5%8D%80-%E4%B8%AD%E8%B7%AF%E7%89%B9%E5%8D%80-%E4%B8%AD%E8%B7%AF%E5%BB%BA%E6%A1%88/</t>
        </is>
      </c>
    </row>
    <row r="128">
      <c r="A128" s="5" t="n">
        <v>127</v>
      </c>
      <c r="B128" s="5" t="inlineStr">
        <is>
          <t>桃園市</t>
        </is>
      </c>
      <c r="C128" s="5" t="inlineStr">
        <is>
          <t>A21003</t>
        </is>
      </c>
      <c r="D128" s="5" t="inlineStr">
        <is>
          <t>taoyuan</t>
        </is>
      </c>
      <c r="E128" s="5" t="inlineStr">
        <is>
          <t>中路區段徵收</t>
        </is>
      </c>
      <c r="F128" s="5" t="inlineStr">
        <is>
          <t>區段徵收</t>
        </is>
      </c>
      <c r="G128" s="5" t="inlineStr">
        <is>
          <t>宜誠川云</t>
        </is>
      </c>
      <c r="H128" s="5" t="inlineStr">
        <is>
          <t>宜誠建設</t>
        </is>
      </c>
      <c r="I128" s="5" t="inlineStr">
        <is>
          <t>80戶</t>
        </is>
      </c>
      <c r="J128" s="5" t="inlineStr">
        <is>
          <t>27-45坪</t>
        </is>
      </c>
      <c r="K128" s="5" t="inlineStr">
        <is>
          <t>52.17萬/坪</t>
        </is>
      </c>
      <c r="L128" s="5" t="inlineStr"/>
      <c r="M128" s="5" t="inlineStr">
        <is>
          <t>預售</t>
        </is>
      </c>
      <c r="N128" s="5" t="inlineStr">
        <is>
          <t>L3</t>
        </is>
      </c>
      <c r="O128" s="5" t="inlineStr">
        <is>
          <t>https://www.housefeel.com.tw/article/%E4%B8%AD%E8%B7%AF%E9%87%8D%E5%8A%83%E5%8D%80-%E4%B8%AD%E8%B7%AF%E7%89%B9%E5%8D%80-%E4%B8%AD%E8%B7%AF%E5%BB%BA%E6%A1%88/</t>
        </is>
      </c>
    </row>
    <row r="129">
      <c r="A129" s="5" t="n">
        <v>128</v>
      </c>
      <c r="B129" s="5" t="inlineStr">
        <is>
          <t>桃園市</t>
        </is>
      </c>
      <c r="C129" s="5" t="inlineStr">
        <is>
          <t>A21003</t>
        </is>
      </c>
      <c r="D129" s="5" t="inlineStr">
        <is>
          <t>taoyuan</t>
        </is>
      </c>
      <c r="E129" s="5" t="inlineStr">
        <is>
          <t>中路區段徵收</t>
        </is>
      </c>
      <c r="F129" s="5" t="inlineStr">
        <is>
          <t>區段徵收</t>
        </is>
      </c>
      <c r="G129" s="5" t="inlineStr">
        <is>
          <t>宜雄森厚</t>
        </is>
      </c>
      <c r="H129" s="5" t="inlineStr">
        <is>
          <t>宜雄建設</t>
        </is>
      </c>
      <c r="I129" s="5" t="inlineStr">
        <is>
          <t>103戶</t>
        </is>
      </c>
      <c r="J129" s="5" t="inlineStr">
        <is>
          <t>28-48坪</t>
        </is>
      </c>
      <c r="K129" s="5" t="inlineStr">
        <is>
          <t>54.93萬/坪</t>
        </is>
      </c>
      <c r="L129" s="5" t="inlineStr"/>
      <c r="M129" s="5" t="inlineStr">
        <is>
          <t>預售</t>
        </is>
      </c>
      <c r="N129" s="5" t="inlineStr">
        <is>
          <t>L3</t>
        </is>
      </c>
      <c r="O129" s="5" t="inlineStr">
        <is>
          <t>https://www.housefeel.com.tw/article/%E4%B8%AD%E8%B7%AF%E9%87%8D%E5%8A%83%E5%8D%80-%E4%B8%AD%E8%B7%AF%E7%89%B9%E5%8D%80-%E4%B8%AD%E8%B7%AF%E5%BB%BA%E6%A1%88/</t>
        </is>
      </c>
    </row>
    <row r="130">
      <c r="A130" s="5" t="n">
        <v>129</v>
      </c>
      <c r="B130" s="5" t="inlineStr">
        <is>
          <t>桃園市</t>
        </is>
      </c>
      <c r="C130" s="5" t="inlineStr">
        <is>
          <t>A21003</t>
        </is>
      </c>
      <c r="D130" s="5" t="inlineStr">
        <is>
          <t>taoyuan</t>
        </is>
      </c>
      <c r="E130" s="5" t="inlineStr">
        <is>
          <t>中路區段徵收</t>
        </is>
      </c>
      <c r="F130" s="5" t="inlineStr">
        <is>
          <t>區段徵收</t>
        </is>
      </c>
      <c r="G130" s="5" t="inlineStr">
        <is>
          <t>京澄朗朗</t>
        </is>
      </c>
      <c r="H130" s="5" t="inlineStr">
        <is>
          <t>京澄建設</t>
        </is>
      </c>
      <c r="I130" s="5" t="inlineStr">
        <is>
          <t>32戶</t>
        </is>
      </c>
      <c r="J130" s="5" t="inlineStr">
        <is>
          <t>23-28坪</t>
        </is>
      </c>
      <c r="K130" s="5" t="inlineStr">
        <is>
          <t>55.1萬/坪</t>
        </is>
      </c>
      <c r="L130" s="5" t="inlineStr"/>
      <c r="M130" s="5" t="inlineStr">
        <is>
          <t>預售</t>
        </is>
      </c>
      <c r="N130" s="5" t="inlineStr">
        <is>
          <t>L3</t>
        </is>
      </c>
      <c r="O130" s="5" t="inlineStr">
        <is>
          <t>https://www.housefeel.com.tw/article/%E4%B8%AD%E8%B7%AF%E9%87%8D%E5%8A%83%E5%8D%80-%E4%B8%AD%E8%B7%AF%E7%89%B9%E5%8D%80-%E4%B8%AD%E8%B7%AF%E5%BB%BA%E6%A1%88/</t>
        </is>
      </c>
    </row>
    <row r="131">
      <c r="A131" s="5" t="n">
        <v>130</v>
      </c>
      <c r="B131" s="5" t="inlineStr">
        <is>
          <t>桃園市</t>
        </is>
      </c>
      <c r="C131" s="5" t="inlineStr">
        <is>
          <t>A21003</t>
        </is>
      </c>
      <c r="D131" s="5" t="inlineStr">
        <is>
          <t>taoyuan</t>
        </is>
      </c>
      <c r="E131" s="5" t="inlineStr">
        <is>
          <t>中路區段徵收</t>
        </is>
      </c>
      <c r="F131" s="5" t="inlineStr">
        <is>
          <t>區段徵收</t>
        </is>
      </c>
      <c r="G131" s="5" t="inlineStr">
        <is>
          <t>京澄卓閱</t>
        </is>
      </c>
      <c r="H131" s="5" t="inlineStr">
        <is>
          <t>京澄建設</t>
        </is>
      </c>
      <c r="I131" s="5" t="inlineStr">
        <is>
          <t>68戶</t>
        </is>
      </c>
      <c r="J131" s="5" t="inlineStr">
        <is>
          <t>39-46坪</t>
        </is>
      </c>
      <c r="K131" s="5" t="inlineStr">
        <is>
          <t>56.04萬/坪</t>
        </is>
      </c>
      <c r="L131" s="5" t="inlineStr"/>
      <c r="M131" s="5" t="inlineStr">
        <is>
          <t>預售</t>
        </is>
      </c>
      <c r="N131" s="5" t="inlineStr">
        <is>
          <t>L3</t>
        </is>
      </c>
      <c r="O131" s="5" t="inlineStr">
        <is>
          <t>https://www.housefeel.com.tw/article/%E4%B8%AD%E8%B7%AF%E9%87%8D%E5%8A%83%E5%8D%80-%E4%B8%AD%E8%B7%AF%E7%89%B9%E5%8D%80-%E4%B8%AD%E8%B7%AF%E5%BB%BA%E6%A1%88/</t>
        </is>
      </c>
    </row>
    <row r="132">
      <c r="A132" s="5" t="n">
        <v>131</v>
      </c>
      <c r="B132" s="5" t="inlineStr">
        <is>
          <t>桃園市</t>
        </is>
      </c>
      <c r="C132" s="5" t="inlineStr">
        <is>
          <t>A21003</t>
        </is>
      </c>
      <c r="D132" s="5" t="inlineStr">
        <is>
          <t>taoyuan</t>
        </is>
      </c>
      <c r="E132" s="5" t="inlineStr">
        <is>
          <t>中路區段徵收</t>
        </is>
      </c>
      <c r="F132" s="5" t="inlineStr">
        <is>
          <t>區段徵收</t>
        </is>
      </c>
      <c r="G132" s="5" t="inlineStr">
        <is>
          <t>MID PARK名嘉極</t>
        </is>
      </c>
      <c r="H132" s="5" t="inlineStr">
        <is>
          <t>名嘉建設</t>
        </is>
      </c>
      <c r="I132" s="5" t="inlineStr">
        <is>
          <t>37戶</t>
        </is>
      </c>
      <c r="J132" s="5" t="inlineStr">
        <is>
          <t>75坪</t>
        </is>
      </c>
      <c r="K132" s="5" t="inlineStr">
        <is>
          <t>52.55萬/坪</t>
        </is>
      </c>
      <c r="L132" s="5" t="inlineStr"/>
      <c r="M132" s="5" t="inlineStr">
        <is>
          <t>預售</t>
        </is>
      </c>
      <c r="N132" s="5" t="inlineStr">
        <is>
          <t>L3</t>
        </is>
      </c>
      <c r="O132" s="5" t="inlineStr">
        <is>
          <t>https://www.housefeel.com.tw/article/%E4%B8%AD%E8%B7%AF%E9%87%8D%E5%8A%83%E5%8D%80-%E4%B8%AD%E8%B7%AF%E7%89%B9%E5%8D%80-%E4%B8%AD%E8%B7%AF%E5%BB%BA%E6%A1%88/</t>
        </is>
      </c>
    </row>
    <row r="133">
      <c r="A133" s="5" t="n">
        <v>132</v>
      </c>
      <c r="B133" s="5" t="inlineStr">
        <is>
          <t>桃園市</t>
        </is>
      </c>
      <c r="C133" s="5" t="inlineStr">
        <is>
          <t>A21003</t>
        </is>
      </c>
      <c r="D133" s="5" t="inlineStr">
        <is>
          <t>taoyuan</t>
        </is>
      </c>
      <c r="E133" s="5" t="inlineStr">
        <is>
          <t>中路區段徵收</t>
        </is>
      </c>
      <c r="F133" s="5" t="inlineStr">
        <is>
          <t>區段徵收</t>
        </is>
      </c>
      <c r="G133" s="5" t="inlineStr">
        <is>
          <t>明築向陽</t>
        </is>
      </c>
      <c r="H133" s="5" t="inlineStr">
        <is>
          <t>明築建設</t>
        </is>
      </c>
      <c r="I133" s="5" t="inlineStr">
        <is>
          <t>99戶</t>
        </is>
      </c>
      <c r="J133" s="5" t="inlineStr">
        <is>
          <t>23-48坪</t>
        </is>
      </c>
      <c r="K133" s="5" t="inlineStr">
        <is>
          <t>48.3萬/坪</t>
        </is>
      </c>
      <c r="L133" s="5" t="inlineStr"/>
      <c r="M133" s="5" t="inlineStr">
        <is>
          <t>已完工</t>
        </is>
      </c>
      <c r="N133" s="5" t="inlineStr">
        <is>
          <t>L3</t>
        </is>
      </c>
      <c r="O133" s="5" t="inlineStr">
        <is>
          <t>https://www.housefeel.com.tw/article/%E4%B8%AD%E8%B7%AF%E9%87%8D%E5%8A%83%E5%8D%80-%E4%B8%AD%E8%B7%AF%E7%89%B9%E5%8D%80-%E4%B8%AD%E8%B7%AF%E5%BB%BA%E6%A1%88/</t>
        </is>
      </c>
    </row>
    <row r="134">
      <c r="A134" s="5" t="n">
        <v>133</v>
      </c>
      <c r="B134" s="5" t="inlineStr">
        <is>
          <t>桃園市</t>
        </is>
      </c>
      <c r="C134" s="5" t="inlineStr">
        <is>
          <t>A21003</t>
        </is>
      </c>
      <c r="D134" s="5" t="inlineStr">
        <is>
          <t>taoyuan</t>
        </is>
      </c>
      <c r="E134" s="5" t="inlineStr">
        <is>
          <t>中路區段徵收</t>
        </is>
      </c>
      <c r="F134" s="5" t="inlineStr">
        <is>
          <t>區段徵收</t>
        </is>
      </c>
      <c r="G134" s="5" t="inlineStr">
        <is>
          <t>中悅學府公園</t>
        </is>
      </c>
      <c r="H134" s="5" t="inlineStr">
        <is>
          <t>中悅建設</t>
        </is>
      </c>
      <c r="I134" s="5" t="inlineStr">
        <is>
          <t>143戶</t>
        </is>
      </c>
      <c r="J134" s="5" t="inlineStr">
        <is>
          <t>79-98坪</t>
        </is>
      </c>
      <c r="K134" s="5" t="inlineStr">
        <is>
          <t>43.52萬/坪</t>
        </is>
      </c>
      <c r="L134" s="5" t="inlineStr"/>
      <c r="M134" s="5" t="inlineStr">
        <is>
          <t>已完工</t>
        </is>
      </c>
      <c r="N134" s="5" t="inlineStr">
        <is>
          <t>L3</t>
        </is>
      </c>
      <c r="O134" s="5" t="inlineStr">
        <is>
          <t>https://www.housefeel.com.tw/article/%E4%B8%AD%E8%B7%AF%E9%87%8D%E5%8A%83%E5%8D%80-%E4%B8%AD%E8%B7%AF%E7%89%B9%E5%8D%80-%E4%B8%AD%E8%B7%AF%E5%BB%BA%E6%A1%88/</t>
        </is>
      </c>
    </row>
    <row r="135">
      <c r="A135" s="5" t="n">
        <v>134</v>
      </c>
      <c r="B135" s="5" t="inlineStr">
        <is>
          <t>桃園市</t>
        </is>
      </c>
      <c r="C135" s="5" t="inlineStr">
        <is>
          <t>A21003</t>
        </is>
      </c>
      <c r="D135" s="5" t="inlineStr">
        <is>
          <t>taoyuan</t>
        </is>
      </c>
      <c r="E135" s="5" t="inlineStr">
        <is>
          <t>中路區段徵收</t>
        </is>
      </c>
      <c r="F135" s="5" t="inlineStr">
        <is>
          <t>區段徵收</t>
        </is>
      </c>
      <c r="G135" s="5" t="inlineStr">
        <is>
          <t>君邑富疆</t>
        </is>
      </c>
      <c r="H135" s="5" t="inlineStr">
        <is>
          <t>君邑建設</t>
        </is>
      </c>
      <c r="I135" s="5" t="inlineStr">
        <is>
          <t>153戶</t>
        </is>
      </c>
      <c r="J135" s="5" t="inlineStr">
        <is>
          <t>29-80坪</t>
        </is>
      </c>
      <c r="K135" s="5" t="inlineStr">
        <is>
          <t>45.02萬/坪</t>
        </is>
      </c>
      <c r="L135" s="5" t="inlineStr"/>
      <c r="M135" s="5" t="inlineStr">
        <is>
          <t>已完工</t>
        </is>
      </c>
      <c r="N135" s="5" t="inlineStr">
        <is>
          <t>L3</t>
        </is>
      </c>
      <c r="O135" s="5" t="inlineStr">
        <is>
          <t>https://www.housefeel.com.tw/article/%E4%B8%AD%E8%B7%AF%E9%87%8D%E5%8A%83%E5%8D%80-%E4%B8%AD%E8%B7%AF%E7%89%B9%E5%8D%80-%E4%B8%AD%E8%B7%AF%E5%BB%BA%E6%A1%88/</t>
        </is>
      </c>
    </row>
    <row r="136">
      <c r="A136" s="5" t="n">
        <v>135</v>
      </c>
      <c r="B136" s="5" t="inlineStr">
        <is>
          <t>桃園市</t>
        </is>
      </c>
      <c r="C136" s="5" t="inlineStr">
        <is>
          <t>A21003</t>
        </is>
      </c>
      <c r="D136" s="5" t="inlineStr">
        <is>
          <t>taoyuan</t>
        </is>
      </c>
      <c r="E136" s="5" t="inlineStr">
        <is>
          <t>中路區段徵收</t>
        </is>
      </c>
      <c r="F136" s="5" t="inlineStr">
        <is>
          <t>區段徵收</t>
        </is>
      </c>
      <c r="G136" s="5" t="inlineStr">
        <is>
          <t>和峻璞樂</t>
        </is>
      </c>
      <c r="H136" s="5" t="inlineStr">
        <is>
          <t>和峻建設</t>
        </is>
      </c>
      <c r="I136" s="5" t="inlineStr">
        <is>
          <t>113戶</t>
        </is>
      </c>
      <c r="J136" s="5" t="inlineStr">
        <is>
          <t>25-45坪</t>
        </is>
      </c>
      <c r="K136" s="5" t="inlineStr">
        <is>
          <t>42.41萬/坪</t>
        </is>
      </c>
      <c r="L136" s="5" t="inlineStr"/>
      <c r="M136" s="5" t="inlineStr">
        <is>
          <t>已完工</t>
        </is>
      </c>
      <c r="N136" s="5" t="inlineStr">
        <is>
          <t>L3</t>
        </is>
      </c>
      <c r="O136" s="5" t="inlineStr">
        <is>
          <t>https://www.housefeel.com.tw/article/%E4%B8%AD%E8%B7%AF%E9%87%8D%E5%8A%83%E5%8D%80-%E4%B8%AD%E8%B7%AF%E7%89%B9%E5%8D%80-%E4%B8%AD%E8%B7%AF%E5%BB%BA%E6%A1%88/</t>
        </is>
      </c>
    </row>
    <row r="137">
      <c r="A137" s="5" t="n">
        <v>136</v>
      </c>
      <c r="B137" s="5" t="inlineStr">
        <is>
          <t>桃園市</t>
        </is>
      </c>
      <c r="C137" s="5" t="inlineStr">
        <is>
          <t>A21003</t>
        </is>
      </c>
      <c r="D137" s="5" t="inlineStr">
        <is>
          <t>taoyuan</t>
        </is>
      </c>
      <c r="E137" s="5" t="inlineStr">
        <is>
          <t>中路區段徵收</t>
        </is>
      </c>
      <c r="F137" s="5" t="inlineStr">
        <is>
          <t>區段徵收</t>
        </is>
      </c>
      <c r="G137" s="5" t="inlineStr">
        <is>
          <t>向陽明珠</t>
        </is>
      </c>
      <c r="H137" s="5" t="inlineStr"/>
      <c r="I137" s="5" t="inlineStr">
        <is>
          <t>15戶</t>
        </is>
      </c>
      <c r="J137" s="5" t="inlineStr">
        <is>
          <t>52坪</t>
        </is>
      </c>
      <c r="K137" s="5" t="inlineStr">
        <is>
          <t>47.01萬/坪</t>
        </is>
      </c>
      <c r="L137" s="5" t="inlineStr"/>
      <c r="M137" s="5" t="inlineStr">
        <is>
          <t>已完工</t>
        </is>
      </c>
      <c r="N137" s="5" t="inlineStr">
        <is>
          <t>L3</t>
        </is>
      </c>
      <c r="O137" s="5" t="inlineStr">
        <is>
          <t>https://www.housefeel.com.tw/article/%E4%B8%AD%E8%B7%AF%E9%87%8D%E5%8A%83%E5%8D%80-%E4%B8%AD%E8%B7%AF%E7%89%B9%E5%8D%80-%E4%B8%AD%E8%B7%AF%E5%BB%BA%E6%A1%88/</t>
        </is>
      </c>
    </row>
    <row r="138">
      <c r="A138" s="5" t="n">
        <v>137</v>
      </c>
      <c r="B138" s="5" t="inlineStr">
        <is>
          <t>桃園市</t>
        </is>
      </c>
      <c r="C138" s="5" t="inlineStr">
        <is>
          <t>A21003</t>
        </is>
      </c>
      <c r="D138" s="5" t="inlineStr">
        <is>
          <t>taoyuan</t>
        </is>
      </c>
      <c r="E138" s="5" t="inlineStr">
        <is>
          <t>中路區段徵收</t>
        </is>
      </c>
      <c r="F138" s="5" t="inlineStr">
        <is>
          <t>區段徵收</t>
        </is>
      </c>
      <c r="G138" s="5" t="inlineStr">
        <is>
          <t>百川凱硯</t>
        </is>
      </c>
      <c r="H138" s="5" t="inlineStr">
        <is>
          <t>百川建設</t>
        </is>
      </c>
      <c r="I138" s="5" t="inlineStr">
        <is>
          <t>139戶</t>
        </is>
      </c>
      <c r="J138" s="5" t="inlineStr">
        <is>
          <t>38-58坪</t>
        </is>
      </c>
      <c r="K138" s="5" t="inlineStr">
        <is>
          <t>45.43萬/坪</t>
        </is>
      </c>
      <c r="L138" s="5" t="inlineStr"/>
      <c r="M138" s="5" t="inlineStr">
        <is>
          <t>已完工</t>
        </is>
      </c>
      <c r="N138" s="5" t="inlineStr">
        <is>
          <t>L3</t>
        </is>
      </c>
      <c r="O138" s="5" t="inlineStr">
        <is>
          <t>https://www.housefeel.com.tw/article/%E4%B8%AD%E8%B7%AF%E9%87%8D%E5%8A%83%E5%8D%80-%E4%B8%AD%E8%B7%AF%E7%89%B9%E5%8D%80-%E4%B8%AD%E8%B7%AF%E5%BB%BA%E6%A1%88/</t>
        </is>
      </c>
    </row>
    <row r="139">
      <c r="A139" s="5" t="n">
        <v>138</v>
      </c>
      <c r="B139" s="5" t="inlineStr">
        <is>
          <t>桃園市</t>
        </is>
      </c>
      <c r="C139" s="5" t="inlineStr">
        <is>
          <t>A21003</t>
        </is>
      </c>
      <c r="D139" s="5" t="inlineStr">
        <is>
          <t>taoyuan</t>
        </is>
      </c>
      <c r="E139" s="5" t="inlineStr">
        <is>
          <t>中路區段徵收</t>
        </is>
      </c>
      <c r="F139" s="5" t="inlineStr">
        <is>
          <t>區段徵收</t>
        </is>
      </c>
      <c r="G139" s="5" t="inlineStr">
        <is>
          <t>璟都巴黎</t>
        </is>
      </c>
      <c r="H139" s="5" t="inlineStr">
        <is>
          <t>璟都建設</t>
        </is>
      </c>
      <c r="I139" s="5" t="inlineStr">
        <is>
          <t>231戶</t>
        </is>
      </c>
      <c r="J139" s="5" t="inlineStr">
        <is>
          <t>24-41坪</t>
        </is>
      </c>
      <c r="K139" s="5" t="inlineStr">
        <is>
          <t>44.04萬/坪</t>
        </is>
      </c>
      <c r="L139" s="5" t="inlineStr"/>
      <c r="M139" s="5" t="inlineStr">
        <is>
          <t>已完工</t>
        </is>
      </c>
      <c r="N139" s="5" t="inlineStr">
        <is>
          <t>L3</t>
        </is>
      </c>
      <c r="O139" s="5" t="inlineStr">
        <is>
          <t>https://www.housefeel.com.tw/article/%E4%B8%AD%E8%B7%AF%E9%87%8D%E5%8A%83%E5%8D%80-%E4%B8%AD%E8%B7%AF%E7%89%B9%E5%8D%80-%E4%B8%AD%E8%B7%AF%E5%BB%BA%E6%A1%88/</t>
        </is>
      </c>
    </row>
    <row r="140">
      <c r="A140" s="5" t="n">
        <v>139</v>
      </c>
      <c r="B140" s="5" t="inlineStr">
        <is>
          <t>桃園市</t>
        </is>
      </c>
      <c r="C140" s="5" t="inlineStr">
        <is>
          <t>A21003</t>
        </is>
      </c>
      <c r="D140" s="5" t="inlineStr">
        <is>
          <t>taoyuan</t>
        </is>
      </c>
      <c r="E140" s="5" t="inlineStr">
        <is>
          <t>中路區段徵收</t>
        </is>
      </c>
      <c r="F140" s="5" t="inlineStr">
        <is>
          <t>區段徵收</t>
        </is>
      </c>
      <c r="G140" s="5" t="inlineStr">
        <is>
          <t>昕中城</t>
        </is>
      </c>
      <c r="H140" s="5" t="inlineStr">
        <is>
          <t>昕陽建設</t>
        </is>
      </c>
      <c r="I140" s="5" t="inlineStr">
        <is>
          <t>146戶</t>
        </is>
      </c>
      <c r="J140" s="5" t="inlineStr">
        <is>
          <t>25-40坪</t>
        </is>
      </c>
      <c r="K140" s="5" t="inlineStr">
        <is>
          <t>44.81萬/坪</t>
        </is>
      </c>
      <c r="L140" s="5" t="inlineStr"/>
      <c r="M140" s="5" t="inlineStr">
        <is>
          <t>已完工</t>
        </is>
      </c>
      <c r="N140" s="5" t="inlineStr">
        <is>
          <t>L3</t>
        </is>
      </c>
      <c r="O140" s="5" t="inlineStr">
        <is>
          <t>https://www.housefeel.com.tw/article/%E4%B8%AD%E8%B7%AF%E9%87%8D%E5%8A%83%E5%8D%80-%E4%B8%AD%E8%B7%AF%E7%89%B9%E5%8D%80-%E4%B8%AD%E8%B7%AF%E5%BB%BA%E6%A1%88/</t>
        </is>
      </c>
    </row>
    <row r="141">
      <c r="A141" s="5" t="n">
        <v>140</v>
      </c>
      <c r="B141" s="5" t="inlineStr">
        <is>
          <t>桃園市</t>
        </is>
      </c>
      <c r="C141" s="5" t="inlineStr">
        <is>
          <t>A21003</t>
        </is>
      </c>
      <c r="D141" s="5" t="inlineStr">
        <is>
          <t>taoyuan</t>
        </is>
      </c>
      <c r="E141" s="5" t="inlineStr">
        <is>
          <t>中路區段徵收</t>
        </is>
      </c>
      <c r="F141" s="5" t="inlineStr">
        <is>
          <t>區段徵收</t>
        </is>
      </c>
      <c r="G141" s="5" t="inlineStr">
        <is>
          <t>京澄泰然</t>
        </is>
      </c>
      <c r="H141" s="5" t="inlineStr">
        <is>
          <t>京澄建設</t>
        </is>
      </c>
      <c r="I141" s="5" t="inlineStr">
        <is>
          <t>65戶</t>
        </is>
      </c>
      <c r="J141" s="5" t="inlineStr">
        <is>
          <t>55-60坪</t>
        </is>
      </c>
      <c r="K141" s="5" t="inlineStr"/>
      <c r="L141" s="5" t="inlineStr"/>
      <c r="M141" s="5" t="inlineStr">
        <is>
          <t>已完工</t>
        </is>
      </c>
      <c r="N141" s="5" t="inlineStr">
        <is>
          <t>L3</t>
        </is>
      </c>
      <c r="O141" s="5" t="inlineStr">
        <is>
          <t>https://www.housefeel.com.tw/article/%E4%B8%AD%E8%B7%AF%E9%87%8D%E5%8A%83%E5%8D%80-%E4%B8%AD%E8%B7%AF%E7%89%B9%E5%8D%80-%E4%B8%AD%E8%B7%AF%E5%BB%BA%E6%A1%88/</t>
        </is>
      </c>
    </row>
    <row r="142">
      <c r="A142" s="5" t="n">
        <v>141</v>
      </c>
      <c r="B142" s="5" t="inlineStr">
        <is>
          <t>桃園市</t>
        </is>
      </c>
      <c r="C142" s="5" t="inlineStr">
        <is>
          <t>A21003</t>
        </is>
      </c>
      <c r="D142" s="5" t="inlineStr">
        <is>
          <t>taoyuan</t>
        </is>
      </c>
      <c r="E142" s="5" t="inlineStr">
        <is>
          <t>中路區段徵收</t>
        </is>
      </c>
      <c r="F142" s="5" t="inlineStr">
        <is>
          <t>區段徵收</t>
        </is>
      </c>
      <c r="G142" s="5" t="inlineStr">
        <is>
          <t>昭揚大和</t>
        </is>
      </c>
      <c r="H142" s="5" t="inlineStr">
        <is>
          <t>昭揚建設</t>
        </is>
      </c>
      <c r="I142" s="5" t="inlineStr">
        <is>
          <t>78戶</t>
        </is>
      </c>
      <c r="J142" s="5" t="inlineStr">
        <is>
          <t>43-52坪</t>
        </is>
      </c>
      <c r="K142" s="5" t="inlineStr">
        <is>
          <t>45.11萬/坪</t>
        </is>
      </c>
      <c r="L142" s="5" t="inlineStr"/>
      <c r="M142" s="5" t="inlineStr">
        <is>
          <t>已完工</t>
        </is>
      </c>
      <c r="N142" s="5" t="inlineStr">
        <is>
          <t>L3</t>
        </is>
      </c>
      <c r="O142" s="5" t="inlineStr">
        <is>
          <t>https://www.housefeel.com.tw/article/%E4%B8%AD%E8%B7%AF%E9%87%8D%E5%8A%83%E5%8D%80-%E4%B8%AD%E8%B7%AF%E7%89%B9%E5%8D%80-%E4%B8%AD%E8%B7%AF%E5%BB%BA%E6%A1%88/</t>
        </is>
      </c>
    </row>
    <row r="143">
      <c r="A143" s="5" t="n">
        <v>142</v>
      </c>
      <c r="B143" s="5" t="inlineStr">
        <is>
          <t>桃園市</t>
        </is>
      </c>
      <c r="C143" s="5" t="inlineStr">
        <is>
          <t>A21003</t>
        </is>
      </c>
      <c r="D143" s="5" t="inlineStr">
        <is>
          <t>taoyuan</t>
        </is>
      </c>
      <c r="E143" s="5" t="inlineStr">
        <is>
          <t>中路區段徵收</t>
        </is>
      </c>
      <c r="F143" s="5" t="inlineStr">
        <is>
          <t>區段徵收</t>
        </is>
      </c>
      <c r="G143" s="5" t="inlineStr">
        <is>
          <t>京懋泰閤</t>
        </is>
      </c>
      <c r="H143" s="5" t="inlineStr">
        <is>
          <t>京懋建設</t>
        </is>
      </c>
      <c r="I143" s="5" t="inlineStr">
        <is>
          <t>139戶</t>
        </is>
      </c>
      <c r="J143" s="5" t="inlineStr">
        <is>
          <t>66-75坪</t>
        </is>
      </c>
      <c r="K143" s="5" t="inlineStr">
        <is>
          <t>55.28萬/坪</t>
        </is>
      </c>
      <c r="L143" s="5" t="inlineStr"/>
      <c r="M143" s="5" t="inlineStr">
        <is>
          <t>已完工</t>
        </is>
      </c>
      <c r="N143" s="5" t="inlineStr">
        <is>
          <t>L3</t>
        </is>
      </c>
      <c r="O143" s="5" t="inlineStr">
        <is>
          <t>https://www.housefeel.com.tw/article/%E4%B8%AD%E8%B7%AF%E9%87%8D%E5%8A%83%E5%8D%80-%E4%B8%AD%E8%B7%AF%E7%89%B9%E5%8D%80-%E4%B8%AD%E8%B7%AF%E5%BB%BA%E6%A1%88/</t>
        </is>
      </c>
    </row>
    <row r="144">
      <c r="A144" s="5" t="n">
        <v>143</v>
      </c>
      <c r="B144" s="5" t="inlineStr">
        <is>
          <t>桃園市</t>
        </is>
      </c>
      <c r="C144" s="5" t="inlineStr">
        <is>
          <t>A21003</t>
        </is>
      </c>
      <c r="D144" s="5" t="inlineStr">
        <is>
          <t>taoyuan</t>
        </is>
      </c>
      <c r="E144" s="5" t="inlineStr">
        <is>
          <t>中路區段徵收</t>
        </is>
      </c>
      <c r="F144" s="5" t="inlineStr">
        <is>
          <t>區段徵收</t>
        </is>
      </c>
      <c r="G144" s="5" t="inlineStr">
        <is>
          <t>向陽綻</t>
        </is>
      </c>
      <c r="H144" s="5" t="inlineStr"/>
      <c r="I144" s="5" t="inlineStr">
        <is>
          <t>97戶</t>
        </is>
      </c>
      <c r="J144" s="5" t="inlineStr">
        <is>
          <t>33-44坪</t>
        </is>
      </c>
      <c r="K144" s="5" t="inlineStr">
        <is>
          <t>39.99萬/坪</t>
        </is>
      </c>
      <c r="L144" s="5" t="inlineStr"/>
      <c r="M144" s="5" t="inlineStr">
        <is>
          <t>已完工</t>
        </is>
      </c>
      <c r="N144" s="5" t="inlineStr">
        <is>
          <t>L3</t>
        </is>
      </c>
      <c r="O144" s="5" t="inlineStr">
        <is>
          <t>https://www.housefeel.com.tw/article/%E4%B8%AD%E8%B7%AF%E9%87%8D%E5%8A%83%E5%8D%80-%E4%B8%AD%E8%B7%AF%E7%89%B9%E5%8D%80-%E4%B8%AD%E8%B7%AF%E5%BB%BA%E6%A1%88/</t>
        </is>
      </c>
    </row>
    <row r="145">
      <c r="A145" s="5" t="n">
        <v>144</v>
      </c>
      <c r="B145" s="5" t="inlineStr">
        <is>
          <t>桃園市</t>
        </is>
      </c>
      <c r="C145" s="5" t="inlineStr">
        <is>
          <t>A21003</t>
        </is>
      </c>
      <c r="D145" s="5" t="inlineStr">
        <is>
          <t>taoyuan</t>
        </is>
      </c>
      <c r="E145" s="5" t="inlineStr">
        <is>
          <t>大園區段徵收</t>
        </is>
      </c>
      <c r="F145" s="5" t="inlineStr">
        <is>
          <t>區段徵收</t>
        </is>
      </c>
      <c r="G145" s="5" t="inlineStr">
        <is>
          <t>佳瑞知森</t>
        </is>
      </c>
      <c r="H145" s="5" t="inlineStr">
        <is>
          <t>佳瑞建設</t>
        </is>
      </c>
      <c r="I145" s="5" t="inlineStr">
        <is>
          <t>161戶</t>
        </is>
      </c>
      <c r="J145" s="5" t="inlineStr">
        <is>
          <t>26-37坪</t>
        </is>
      </c>
      <c r="K145" s="5" t="inlineStr">
        <is>
          <t>32.05萬/坪</t>
        </is>
      </c>
      <c r="L145" s="5" t="inlineStr"/>
      <c r="M145" s="5" t="inlineStr">
        <is>
          <t>預售</t>
        </is>
      </c>
      <c r="N145" s="5" t="inlineStr">
        <is>
          <t>L3</t>
        </is>
      </c>
      <c r="O145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46">
      <c r="A146" s="5" t="n">
        <v>145</v>
      </c>
      <c r="B146" s="5" t="inlineStr">
        <is>
          <t>桃園市</t>
        </is>
      </c>
      <c r="C146" s="5" t="inlineStr">
        <is>
          <t>A21003</t>
        </is>
      </c>
      <c r="D146" s="5" t="inlineStr">
        <is>
          <t>taoyuan</t>
        </is>
      </c>
      <c r="E146" s="5" t="inlineStr">
        <is>
          <t>大園區段徵收</t>
        </is>
      </c>
      <c r="F146" s="5" t="inlineStr">
        <is>
          <t>區段徵收</t>
        </is>
      </c>
      <c r="G146" s="5" t="inlineStr">
        <is>
          <t>協勝雙子城2</t>
        </is>
      </c>
      <c r="H146" s="5" t="inlineStr">
        <is>
          <t>協勝建設</t>
        </is>
      </c>
      <c r="I146" s="5" t="inlineStr">
        <is>
          <t>165戶</t>
        </is>
      </c>
      <c r="J146" s="5" t="inlineStr">
        <is>
          <t>23-38坪</t>
        </is>
      </c>
      <c r="K146" s="5" t="inlineStr">
        <is>
          <t>30.42萬/坪</t>
        </is>
      </c>
      <c r="L146" s="5" t="inlineStr"/>
      <c r="M146" s="5" t="inlineStr">
        <is>
          <t>預售</t>
        </is>
      </c>
      <c r="N146" s="5" t="inlineStr">
        <is>
          <t>L3</t>
        </is>
      </c>
      <c r="O146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47">
      <c r="A147" s="5" t="n">
        <v>146</v>
      </c>
      <c r="B147" s="5" t="inlineStr">
        <is>
          <t>桃園市</t>
        </is>
      </c>
      <c r="C147" s="5" t="inlineStr">
        <is>
          <t>A21003</t>
        </is>
      </c>
      <c r="D147" s="5" t="inlineStr">
        <is>
          <t>taoyuan</t>
        </is>
      </c>
      <c r="E147" s="5" t="inlineStr">
        <is>
          <t>大園區段徵收</t>
        </is>
      </c>
      <c r="F147" s="5" t="inlineStr">
        <is>
          <t>區段徵收</t>
        </is>
      </c>
      <c r="G147" s="5" t="inlineStr">
        <is>
          <t>協勝中央公園</t>
        </is>
      </c>
      <c r="H147" s="5" t="inlineStr">
        <is>
          <t>協勝建設</t>
        </is>
      </c>
      <c r="I147" s="5" t="inlineStr">
        <is>
          <t>296戶</t>
        </is>
      </c>
      <c r="J147" s="5" t="inlineStr">
        <is>
          <t>21-40坪</t>
        </is>
      </c>
      <c r="K147" s="5" t="inlineStr"/>
      <c r="L147" s="5" t="inlineStr"/>
      <c r="M147" s="5" t="inlineStr">
        <is>
          <t>預售</t>
        </is>
      </c>
      <c r="N147" s="5" t="inlineStr">
        <is>
          <t>L3</t>
        </is>
      </c>
      <c r="O147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48">
      <c r="A148" s="5" t="n">
        <v>147</v>
      </c>
      <c r="B148" s="5" t="inlineStr">
        <is>
          <t>桃園市</t>
        </is>
      </c>
      <c r="C148" s="5" t="inlineStr">
        <is>
          <t>A21003</t>
        </is>
      </c>
      <c r="D148" s="5" t="inlineStr">
        <is>
          <t>taoyuan</t>
        </is>
      </c>
      <c r="E148" s="5" t="inlineStr">
        <is>
          <t>大園區段徵收</t>
        </is>
      </c>
      <c r="F148" s="5" t="inlineStr">
        <is>
          <t>區段徵收</t>
        </is>
      </c>
      <c r="G148" s="5" t="inlineStr">
        <is>
          <t>合展悦恬</t>
        </is>
      </c>
      <c r="H148" s="5" t="inlineStr">
        <is>
          <t>合展建設</t>
        </is>
      </c>
      <c r="I148" s="5" t="inlineStr">
        <is>
          <t>273戶</t>
        </is>
      </c>
      <c r="J148" s="5" t="inlineStr">
        <is>
          <t>24-37坪</t>
        </is>
      </c>
      <c r="K148" s="5" t="inlineStr">
        <is>
          <t>30.22萬/坪</t>
        </is>
      </c>
      <c r="L148" s="5" t="inlineStr"/>
      <c r="M148" s="5" t="inlineStr">
        <is>
          <t>預售</t>
        </is>
      </c>
      <c r="N148" s="5" t="inlineStr">
        <is>
          <t>L3</t>
        </is>
      </c>
      <c r="O148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49">
      <c r="A149" s="5" t="n">
        <v>148</v>
      </c>
      <c r="B149" s="5" t="inlineStr">
        <is>
          <t>桃園市</t>
        </is>
      </c>
      <c r="C149" s="5" t="inlineStr">
        <is>
          <t>A21003</t>
        </is>
      </c>
      <c r="D149" s="5" t="inlineStr">
        <is>
          <t>taoyuan</t>
        </is>
      </c>
      <c r="E149" s="5" t="inlineStr">
        <is>
          <t>大園區段徵收</t>
        </is>
      </c>
      <c r="F149" s="5" t="inlineStr">
        <is>
          <t>區段徵收</t>
        </is>
      </c>
      <c r="G149" s="5" t="inlineStr">
        <is>
          <t>合登領航城</t>
        </is>
      </c>
      <c r="H149" s="5" t="inlineStr">
        <is>
          <t>合登建設</t>
        </is>
      </c>
      <c r="I149" s="5" t="inlineStr">
        <is>
          <t>246戶</t>
        </is>
      </c>
      <c r="J149" s="5" t="inlineStr">
        <is>
          <t>24-33坪</t>
        </is>
      </c>
      <c r="K149" s="5" t="inlineStr">
        <is>
          <t>31.70萬/坪</t>
        </is>
      </c>
      <c r="L149" s="5" t="inlineStr"/>
      <c r="M149" s="5" t="inlineStr">
        <is>
          <t>預售</t>
        </is>
      </c>
      <c r="N149" s="5" t="inlineStr">
        <is>
          <t>L3</t>
        </is>
      </c>
      <c r="O149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0">
      <c r="A150" s="5" t="n">
        <v>149</v>
      </c>
      <c r="B150" s="5" t="inlineStr">
        <is>
          <t>桃園市</t>
        </is>
      </c>
      <c r="C150" s="5" t="inlineStr">
        <is>
          <t>A21003</t>
        </is>
      </c>
      <c r="D150" s="5" t="inlineStr">
        <is>
          <t>taoyuan</t>
        </is>
      </c>
      <c r="E150" s="5" t="inlineStr">
        <is>
          <t>大園區段徵收</t>
        </is>
      </c>
      <c r="F150" s="5" t="inlineStr">
        <is>
          <t>區段徵收</t>
        </is>
      </c>
      <c r="G150" s="5" t="inlineStr">
        <is>
          <t>璟都航空城</t>
        </is>
      </c>
      <c r="H150" s="5" t="inlineStr">
        <is>
          <t>璟都建設</t>
        </is>
      </c>
      <c r="I150" s="5" t="inlineStr">
        <is>
          <t>989戶</t>
        </is>
      </c>
      <c r="J150" s="5" t="inlineStr">
        <is>
          <t>18-35坪</t>
        </is>
      </c>
      <c r="K150" s="5" t="inlineStr">
        <is>
          <t>39.61萬/坪</t>
        </is>
      </c>
      <c r="L150" s="5" t="inlineStr"/>
      <c r="M150" s="5" t="inlineStr">
        <is>
          <t>預售</t>
        </is>
      </c>
      <c r="N150" s="5" t="inlineStr">
        <is>
          <t>L3</t>
        </is>
      </c>
      <c r="O150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1">
      <c r="A151" s="5" t="n">
        <v>150</v>
      </c>
      <c r="B151" s="5" t="inlineStr">
        <is>
          <t>桃園市</t>
        </is>
      </c>
      <c r="C151" s="5" t="inlineStr">
        <is>
          <t>A21003</t>
        </is>
      </c>
      <c r="D151" s="5" t="inlineStr">
        <is>
          <t>taoyuan</t>
        </is>
      </c>
      <c r="E151" s="5" t="inlineStr">
        <is>
          <t>大園區段徵收</t>
        </is>
      </c>
      <c r="F151" s="5" t="inlineStr">
        <is>
          <t>區段徵收</t>
        </is>
      </c>
      <c r="G151" s="5" t="inlineStr">
        <is>
          <t>璟都新世界</t>
        </is>
      </c>
      <c r="H151" s="5" t="inlineStr">
        <is>
          <t>璟都建設</t>
        </is>
      </c>
      <c r="I151" s="5" t="inlineStr">
        <is>
          <t>361戶</t>
        </is>
      </c>
      <c r="J151" s="5" t="inlineStr">
        <is>
          <t>19-38坪</t>
        </is>
      </c>
      <c r="K151" s="5" t="inlineStr">
        <is>
          <t>37.48萬/坪</t>
        </is>
      </c>
      <c r="L151" s="5" t="inlineStr"/>
      <c r="M151" s="5" t="inlineStr">
        <is>
          <t>預售</t>
        </is>
      </c>
      <c r="N151" s="5" t="inlineStr">
        <is>
          <t>L3</t>
        </is>
      </c>
      <c r="O151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2">
      <c r="A152" s="5" t="n">
        <v>151</v>
      </c>
      <c r="B152" s="5" t="inlineStr">
        <is>
          <t>桃園市</t>
        </is>
      </c>
      <c r="C152" s="5" t="inlineStr">
        <is>
          <t>A21003</t>
        </is>
      </c>
      <c r="D152" s="5" t="inlineStr">
        <is>
          <t>taoyuan</t>
        </is>
      </c>
      <c r="E152" s="5" t="inlineStr">
        <is>
          <t>大園區段徵收</t>
        </is>
      </c>
      <c r="F152" s="5" t="inlineStr">
        <is>
          <t>區段徵收</t>
        </is>
      </c>
      <c r="G152" s="5" t="inlineStr">
        <is>
          <t>逸偉A+</t>
        </is>
      </c>
      <c r="H152" s="5" t="inlineStr">
        <is>
          <t>逸偉建設</t>
        </is>
      </c>
      <c r="I152" s="5" t="inlineStr">
        <is>
          <t>288戶</t>
        </is>
      </c>
      <c r="J152" s="5" t="inlineStr">
        <is>
          <t>17-38坪</t>
        </is>
      </c>
      <c r="K152" s="5" t="inlineStr">
        <is>
          <t>36.95萬/坪</t>
        </is>
      </c>
      <c r="L152" s="5" t="inlineStr"/>
      <c r="M152" s="5" t="inlineStr">
        <is>
          <t>預售</t>
        </is>
      </c>
      <c r="N152" s="5" t="inlineStr">
        <is>
          <t>L3</t>
        </is>
      </c>
      <c r="O152" s="5" t="inlineStr">
        <is>
          <t>https://www.housefeel.com.tw/article/%E5%A4%A7%E5%9C%92-%E5%AE%A2%E9%81%8B%E5%9C%92%E5%8D%80-%E5%A4%A7%E5%9C%92%E5%AE%A2%E9%81%8B%E5%9C%92%E5%8D%80-%E5%AE%A2%E9%81%8B%E5%9C%92%E5%8D%80%E5%BB%BA%E6%A1%88/；https://newhouse.591.com.tw/138455</t>
        </is>
      </c>
    </row>
    <row r="153">
      <c r="A153" s="5" t="n">
        <v>152</v>
      </c>
      <c r="B153" s="5" t="inlineStr">
        <is>
          <t>桃園市</t>
        </is>
      </c>
      <c r="C153" s="5" t="inlineStr">
        <is>
          <t>A21003</t>
        </is>
      </c>
      <c r="D153" s="5" t="inlineStr">
        <is>
          <t>taoyuan</t>
        </is>
      </c>
      <c r="E153" s="5" t="inlineStr">
        <is>
          <t>大園區段徵收</t>
        </is>
      </c>
      <c r="F153" s="5" t="inlineStr">
        <is>
          <t>區段徵收</t>
        </is>
      </c>
      <c r="G153" s="5" t="inlineStr">
        <is>
          <t>上順艾麗</t>
        </is>
      </c>
      <c r="H153" s="5" t="inlineStr">
        <is>
          <t>上順建設</t>
        </is>
      </c>
      <c r="I153" s="5" t="inlineStr">
        <is>
          <t>185戶</t>
        </is>
      </c>
      <c r="J153" s="5" t="inlineStr">
        <is>
          <t>23-35坪</t>
        </is>
      </c>
      <c r="K153" s="5" t="inlineStr"/>
      <c r="L153" s="5" t="inlineStr"/>
      <c r="M153" s="5" t="inlineStr">
        <is>
          <t>預售</t>
        </is>
      </c>
      <c r="N153" s="5" t="inlineStr">
        <is>
          <t>L3</t>
        </is>
      </c>
      <c r="O153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4">
      <c r="A154" s="5" t="n">
        <v>153</v>
      </c>
      <c r="B154" s="5" t="inlineStr">
        <is>
          <t>桃園市</t>
        </is>
      </c>
      <c r="C154" s="5" t="inlineStr">
        <is>
          <t>A21003</t>
        </is>
      </c>
      <c r="D154" s="5" t="inlineStr">
        <is>
          <t>taoyuan</t>
        </is>
      </c>
      <c r="E154" s="5" t="inlineStr">
        <is>
          <t>大園區段徵收</t>
        </is>
      </c>
      <c r="F154" s="5" t="inlineStr">
        <is>
          <t>區段徵收</t>
        </is>
      </c>
      <c r="G154" s="5" t="inlineStr">
        <is>
          <t>高誠君閱</t>
        </is>
      </c>
      <c r="H154" s="5" t="inlineStr">
        <is>
          <t>高誠建設</t>
        </is>
      </c>
      <c r="I154" s="5" t="inlineStr">
        <is>
          <t>84戶</t>
        </is>
      </c>
      <c r="J154" s="5" t="inlineStr">
        <is>
          <t>31-47坪</t>
        </is>
      </c>
      <c r="K154" s="5" t="inlineStr"/>
      <c r="L154" s="5" t="inlineStr"/>
      <c r="M154" s="5" t="inlineStr">
        <is>
          <t>已完工</t>
        </is>
      </c>
      <c r="N154" s="5" t="inlineStr">
        <is>
          <t>L3</t>
        </is>
      </c>
      <c r="O154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5">
      <c r="A155" s="5" t="n">
        <v>154</v>
      </c>
      <c r="B155" s="5" t="inlineStr">
        <is>
          <t>桃園市</t>
        </is>
      </c>
      <c r="C155" s="5" t="inlineStr">
        <is>
          <t>A21003</t>
        </is>
      </c>
      <c r="D155" s="5" t="inlineStr">
        <is>
          <t>taoyuan</t>
        </is>
      </c>
      <c r="E155" s="5" t="inlineStr">
        <is>
          <t>大園區段徵收</t>
        </is>
      </c>
      <c r="F155" s="5" t="inlineStr">
        <is>
          <t>區段徵收</t>
        </is>
      </c>
      <c r="G155" s="5" t="inlineStr">
        <is>
          <t>璟都麗緻</t>
        </is>
      </c>
      <c r="H155" s="5" t="inlineStr">
        <is>
          <t>璟都建設</t>
        </is>
      </c>
      <c r="I155" s="5" t="inlineStr">
        <is>
          <t>173戶</t>
        </is>
      </c>
      <c r="J155" s="5" t="inlineStr">
        <is>
          <t>22-44坪</t>
        </is>
      </c>
      <c r="K155" s="5" t="inlineStr">
        <is>
          <t>29.52萬/坪</t>
        </is>
      </c>
      <c r="L155" s="5" t="inlineStr"/>
      <c r="M155" s="5" t="inlineStr">
        <is>
          <t>已完工</t>
        </is>
      </c>
      <c r="N155" s="5" t="inlineStr">
        <is>
          <t>L3</t>
        </is>
      </c>
      <c r="O155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6">
      <c r="A156" s="5" t="n">
        <v>155</v>
      </c>
      <c r="B156" s="5" t="inlineStr">
        <is>
          <t>桃園市</t>
        </is>
      </c>
      <c r="C156" s="5" t="inlineStr">
        <is>
          <t>A21003</t>
        </is>
      </c>
      <c r="D156" s="5" t="inlineStr">
        <is>
          <t>taoyuan</t>
        </is>
      </c>
      <c r="E156" s="5" t="inlineStr">
        <is>
          <t>大園區段徵收</t>
        </is>
      </c>
      <c r="F156" s="5" t="inlineStr">
        <is>
          <t>區段徵收</t>
        </is>
      </c>
      <c r="G156" s="5" t="inlineStr">
        <is>
          <t>璟都艾美</t>
        </is>
      </c>
      <c r="H156" s="5" t="inlineStr">
        <is>
          <t>璟都建設</t>
        </is>
      </c>
      <c r="I156" s="5" t="inlineStr">
        <is>
          <t>142戶</t>
        </is>
      </c>
      <c r="J156" s="5" t="inlineStr">
        <is>
          <t>28-39坪</t>
        </is>
      </c>
      <c r="K156" s="5" t="inlineStr">
        <is>
          <t>29.36萬/坪</t>
        </is>
      </c>
      <c r="L156" s="5" t="inlineStr"/>
      <c r="M156" s="5" t="inlineStr">
        <is>
          <t>已完工</t>
        </is>
      </c>
      <c r="N156" s="5" t="inlineStr">
        <is>
          <t>L3</t>
        </is>
      </c>
      <c r="O156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7">
      <c r="A157" s="5" t="n">
        <v>156</v>
      </c>
      <c r="B157" s="5" t="inlineStr">
        <is>
          <t>桃園市</t>
        </is>
      </c>
      <c r="C157" s="5" t="inlineStr">
        <is>
          <t>A21003</t>
        </is>
      </c>
      <c r="D157" s="5" t="inlineStr">
        <is>
          <t>taoyuan</t>
        </is>
      </c>
      <c r="E157" s="5" t="inlineStr">
        <is>
          <t>大園區段徵收</t>
        </is>
      </c>
      <c r="F157" s="5" t="inlineStr">
        <is>
          <t>區段徵收</t>
        </is>
      </c>
      <c r="G157" s="5" t="inlineStr">
        <is>
          <t>璟都凱悅</t>
        </is>
      </c>
      <c r="H157" s="5" t="inlineStr">
        <is>
          <t>璟都建設</t>
        </is>
      </c>
      <c r="I157" s="5" t="inlineStr">
        <is>
          <t>108戶</t>
        </is>
      </c>
      <c r="J157" s="5" t="inlineStr">
        <is>
          <t>21-40坪</t>
        </is>
      </c>
      <c r="K157" s="5" t="inlineStr">
        <is>
          <t>30.03萬/坪</t>
        </is>
      </c>
      <c r="L157" s="5" t="inlineStr"/>
      <c r="M157" s="5" t="inlineStr">
        <is>
          <t>已完工</t>
        </is>
      </c>
      <c r="N157" s="5" t="inlineStr">
        <is>
          <t>L3</t>
        </is>
      </c>
      <c r="O157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8">
      <c r="A158" s="5" t="n">
        <v>157</v>
      </c>
      <c r="B158" s="5" t="inlineStr">
        <is>
          <t>桃園市</t>
        </is>
      </c>
      <c r="C158" s="5" t="inlineStr">
        <is>
          <t>A21003</t>
        </is>
      </c>
      <c r="D158" s="5" t="inlineStr">
        <is>
          <t>taoyuan</t>
        </is>
      </c>
      <c r="E158" s="5" t="inlineStr">
        <is>
          <t>大園區段徵收</t>
        </is>
      </c>
      <c r="F158" s="5" t="inlineStr">
        <is>
          <t>區段徵收</t>
        </is>
      </c>
      <c r="G158" s="5" t="inlineStr">
        <is>
          <t>璟都未來城</t>
        </is>
      </c>
      <c r="H158" s="5" t="inlineStr">
        <is>
          <t>璟都建設</t>
        </is>
      </c>
      <c r="I158" s="5" t="inlineStr">
        <is>
          <t>427戶</t>
        </is>
      </c>
      <c r="J158" s="5" t="inlineStr">
        <is>
          <t>19-40坪</t>
        </is>
      </c>
      <c r="K158" s="5" t="inlineStr">
        <is>
          <t>36.15萬/坪</t>
        </is>
      </c>
      <c r="L158" s="5" t="inlineStr"/>
      <c r="M158" s="5" t="inlineStr">
        <is>
          <t>已完工</t>
        </is>
      </c>
      <c r="N158" s="5" t="inlineStr">
        <is>
          <t>L3</t>
        </is>
      </c>
      <c r="O158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9">
      <c r="A159" s="5" t="n">
        <v>158</v>
      </c>
      <c r="B159" s="5" t="inlineStr">
        <is>
          <t>桃園市</t>
        </is>
      </c>
      <c r="C159" s="5" t="inlineStr">
        <is>
          <t>A21003</t>
        </is>
      </c>
      <c r="D159" s="5" t="inlineStr">
        <is>
          <t>taoyuan</t>
        </is>
      </c>
      <c r="E159" s="5" t="inlineStr">
        <is>
          <t>大園區段徵收</t>
        </is>
      </c>
      <c r="F159" s="5" t="inlineStr">
        <is>
          <t>區段徵收</t>
        </is>
      </c>
      <c r="G159" s="5" t="inlineStr">
        <is>
          <t>龍築靜玥</t>
        </is>
      </c>
      <c r="H159" s="5" t="inlineStr">
        <is>
          <t>龍築建設</t>
        </is>
      </c>
      <c r="I159" s="5" t="inlineStr">
        <is>
          <t>135戶</t>
        </is>
      </c>
      <c r="J159" s="5" t="inlineStr">
        <is>
          <t>19-41坪</t>
        </is>
      </c>
      <c r="K159" s="5" t="inlineStr"/>
      <c r="L159" s="5" t="inlineStr"/>
      <c r="M159" s="5" t="inlineStr">
        <is>
          <t>已完工</t>
        </is>
      </c>
      <c r="N159" s="5" t="inlineStr">
        <is>
          <t>L3</t>
        </is>
      </c>
      <c r="O159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60">
      <c r="A160" s="5" t="n">
        <v>159</v>
      </c>
      <c r="B160" s="5" t="inlineStr">
        <is>
          <t>桃園市</t>
        </is>
      </c>
      <c r="C160" s="5" t="inlineStr">
        <is>
          <t>A21003</t>
        </is>
      </c>
      <c r="D160" s="5" t="inlineStr">
        <is>
          <t>taoyuan</t>
        </is>
      </c>
      <c r="E160" s="5" t="inlineStr">
        <is>
          <t>大園區段徵收</t>
        </is>
      </c>
      <c r="F160" s="5" t="inlineStr">
        <is>
          <t>區段徵收</t>
        </is>
      </c>
      <c r="G160" s="5" t="inlineStr">
        <is>
          <t>協勝雙子城</t>
        </is>
      </c>
      <c r="H160" s="5" t="inlineStr">
        <is>
          <t>協勝建設</t>
        </is>
      </c>
      <c r="I160" s="5" t="inlineStr">
        <is>
          <t>144戶</t>
        </is>
      </c>
      <c r="J160" s="5" t="inlineStr">
        <is>
          <t>25-38坪</t>
        </is>
      </c>
      <c r="K160" s="5" t="inlineStr">
        <is>
          <t>25.40萬/坪</t>
        </is>
      </c>
      <c r="L160" s="5" t="inlineStr"/>
      <c r="M160" s="5" t="inlineStr">
        <is>
          <t>已完工</t>
        </is>
      </c>
      <c r="N160" s="5" t="inlineStr">
        <is>
          <t>L3</t>
        </is>
      </c>
      <c r="O160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61">
      <c r="A161" s="5" t="n">
        <v>160</v>
      </c>
      <c r="B161" s="5" t="inlineStr">
        <is>
          <t>桃園市</t>
        </is>
      </c>
      <c r="C161" s="5" t="inlineStr">
        <is>
          <t>A21003</t>
        </is>
      </c>
      <c r="D161" s="5" t="inlineStr">
        <is>
          <t>taoyuan</t>
        </is>
      </c>
      <c r="E161" s="5" t="inlineStr">
        <is>
          <t>大園區段徵收</t>
        </is>
      </c>
      <c r="F161" s="5" t="inlineStr">
        <is>
          <t>區段徵收</t>
        </is>
      </c>
      <c r="G161" s="5" t="inlineStr">
        <is>
          <t>佳瑞向學</t>
        </is>
      </c>
      <c r="H161" s="5" t="inlineStr">
        <is>
          <t>佳瑞建設</t>
        </is>
      </c>
      <c r="I161" s="5" t="inlineStr">
        <is>
          <t>88戶</t>
        </is>
      </c>
      <c r="J161" s="5" t="inlineStr">
        <is>
          <t>27-37坪</t>
        </is>
      </c>
      <c r="K161" s="5" t="inlineStr">
        <is>
          <t>31.19萬/坪</t>
        </is>
      </c>
      <c r="L161" s="5" t="inlineStr"/>
      <c r="M161" s="5" t="inlineStr">
        <is>
          <t>已完工</t>
        </is>
      </c>
      <c r="N161" s="5" t="inlineStr">
        <is>
          <t>L3</t>
        </is>
      </c>
      <c r="O161" s="5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62">
      <c r="A162" s="5" t="n">
        <v>161</v>
      </c>
      <c r="B162" s="5" t="inlineStr">
        <is>
          <t>桃園市</t>
        </is>
      </c>
      <c r="C162" s="5" t="inlineStr">
        <is>
          <t>A21003</t>
        </is>
      </c>
      <c r="D162" s="5" t="inlineStr">
        <is>
          <t>taoyuan</t>
        </is>
      </c>
      <c r="E162" s="5" t="inlineStr">
        <is>
          <t>舊市區零星都更</t>
        </is>
      </c>
      <c r="F162" s="5" t="inlineStr">
        <is>
          <t>都市更新</t>
        </is>
      </c>
      <c r="G162" s="5" t="inlineStr">
        <is>
          <t>傑丞春日路都更案</t>
        </is>
      </c>
      <c r="H162" s="5" t="inlineStr">
        <is>
          <t>傑丞開發</t>
        </is>
      </c>
      <c r="I162" s="5" t="inlineStr"/>
      <c r="J162" s="5" t="inlineStr"/>
      <c r="K162" s="5" t="inlineStr"/>
      <c r="L162" s="5" t="inlineStr">
        <is>
          <t>2022</t>
        </is>
      </c>
      <c r="M162" s="5" t="inlineStr">
        <is>
          <t>興建中</t>
        </is>
      </c>
      <c r="N162" s="5" t="inlineStr">
        <is>
          <t>L3</t>
        </is>
      </c>
      <c r="O162" s="5" t="inlineStr">
        <is>
          <t>https://www.ur.org.tw/mynews/view/4503</t>
        </is>
      </c>
    </row>
    <row r="163">
      <c r="A163" s="5" t="n">
        <v>162</v>
      </c>
      <c r="B163" s="5" t="inlineStr">
        <is>
          <t>桃園市</t>
        </is>
      </c>
      <c r="C163" s="5" t="inlineStr">
        <is>
          <t>A21003</t>
        </is>
      </c>
      <c r="D163" s="5" t="inlineStr">
        <is>
          <t>taoyuan</t>
        </is>
      </c>
      <c r="E163" s="5" t="inlineStr">
        <is>
          <t>舊市區零星都更</t>
        </is>
      </c>
      <c r="F163" s="5" t="inlineStr">
        <is>
          <t>都市更新</t>
        </is>
      </c>
      <c r="G163" s="5" t="inlineStr">
        <is>
          <t>新民立體停車場公辦都更</t>
        </is>
      </c>
      <c r="H163" s="5" t="inlineStr">
        <is>
          <t>桃園市政府</t>
        </is>
      </c>
      <c r="I163" s="5" t="inlineStr"/>
      <c r="J163" s="5" t="inlineStr"/>
      <c r="K163" s="5" t="inlineStr"/>
      <c r="L163" s="5" t="inlineStr"/>
      <c r="M163" s="5" t="inlineStr">
        <is>
          <t>規劃中</t>
        </is>
      </c>
      <c r="N163" s="5" t="inlineStr">
        <is>
          <t>L3</t>
        </is>
      </c>
      <c r="O163" s="5" t="inlineStr">
        <is>
          <t>https://www.cdnnews.com.tw/articles/1248123</t>
        </is>
      </c>
    </row>
    <row r="164">
      <c r="A164" s="5" t="n">
        <v>163</v>
      </c>
      <c r="B164" s="5" t="inlineStr">
        <is>
          <t>臺中市</t>
        </is>
      </c>
      <c r="C164" s="5" t="inlineStr">
        <is>
          <t>A21004</t>
        </is>
      </c>
      <c r="D164" s="5" t="inlineStr">
        <is>
          <t>taichung</t>
        </is>
      </c>
      <c r="E164" s="5" t="inlineStr">
        <is>
          <t>4期重劃</t>
        </is>
      </c>
      <c r="F164" s="5" t="inlineStr">
        <is>
          <t>公辦市地重劃</t>
        </is>
      </c>
      <c r="G164" s="5" t="inlineStr">
        <is>
          <t>馥御</t>
        </is>
      </c>
      <c r="H164" s="5" t="inlineStr">
        <is>
          <t>新御建設</t>
        </is>
      </c>
      <c r="I164" s="5" t="inlineStr"/>
      <c r="J164" s="5" t="inlineStr">
        <is>
          <t>30-35坪</t>
        </is>
      </c>
      <c r="K164" s="5" t="inlineStr"/>
      <c r="L164" s="5" t="inlineStr"/>
      <c r="M164" s="5" t="inlineStr"/>
      <c r="N164" s="5" t="inlineStr">
        <is>
          <t>L3</t>
        </is>
      </c>
      <c r="O164" s="5" t="inlineStr">
        <is>
          <t>https://taichung.housetube.tw/22287</t>
        </is>
      </c>
    </row>
    <row r="165">
      <c r="A165" s="5" t="n">
        <v>164</v>
      </c>
      <c r="B165" s="5" t="inlineStr">
        <is>
          <t>臺中市</t>
        </is>
      </c>
      <c r="C165" s="5" t="inlineStr">
        <is>
          <t>A21004</t>
        </is>
      </c>
      <c r="D165" s="5" t="inlineStr">
        <is>
          <t>taichung</t>
        </is>
      </c>
      <c r="E165" s="5" t="inlineStr">
        <is>
          <t>4期重劃</t>
        </is>
      </c>
      <c r="F165" s="5" t="inlineStr">
        <is>
          <t>公辦市地重劃</t>
        </is>
      </c>
      <c r="G165" s="5" t="inlineStr">
        <is>
          <t>G7首绽</t>
        </is>
      </c>
      <c r="H165" s="5" t="inlineStr">
        <is>
          <t>德鑫建設</t>
        </is>
      </c>
      <c r="I165" s="5" t="inlineStr">
        <is>
          <t>251戶</t>
        </is>
      </c>
      <c r="J165" s="5" t="inlineStr"/>
      <c r="K165" s="5" t="inlineStr"/>
      <c r="L165" s="5" t="inlineStr"/>
      <c r="M165" s="5" t="inlineStr"/>
      <c r="N165" s="5" t="inlineStr">
        <is>
          <t>L3</t>
        </is>
      </c>
      <c r="O165" s="5" t="inlineStr">
        <is>
          <t>https://taichung.housetube.tw/24923</t>
        </is>
      </c>
    </row>
    <row r="166">
      <c r="A166" s="5" t="n">
        <v>165</v>
      </c>
      <c r="B166" s="5" t="inlineStr">
        <is>
          <t>臺中市</t>
        </is>
      </c>
      <c r="C166" s="5" t="inlineStr">
        <is>
          <t>A21004</t>
        </is>
      </c>
      <c r="D166" s="5" t="inlineStr">
        <is>
          <t>taichung</t>
        </is>
      </c>
      <c r="E166" s="5" t="inlineStr">
        <is>
          <t>4期重劃</t>
        </is>
      </c>
      <c r="F166" s="5" t="inlineStr">
        <is>
          <t>公辦市地重劃</t>
        </is>
      </c>
      <c r="G166" s="5" t="inlineStr">
        <is>
          <t>虹府敦和</t>
        </is>
      </c>
      <c r="H166" s="5" t="inlineStr">
        <is>
          <t>虹府建設</t>
        </is>
      </c>
      <c r="I166" s="5" t="inlineStr"/>
      <c r="J166" s="5" t="inlineStr">
        <is>
          <t>96坪起</t>
        </is>
      </c>
      <c r="K166" s="5" t="inlineStr"/>
      <c r="L166" s="5" t="inlineStr"/>
      <c r="M166" s="5" t="inlineStr"/>
      <c r="N166" s="5" t="inlineStr">
        <is>
          <t>L3</t>
        </is>
      </c>
      <c r="O166" s="5" t="inlineStr">
        <is>
          <t>https://taichung.housetube.tw/39627</t>
        </is>
      </c>
    </row>
    <row r="167">
      <c r="A167" s="5" t="n">
        <v>166</v>
      </c>
      <c r="B167" s="5" t="inlineStr">
        <is>
          <t>臺中市</t>
        </is>
      </c>
      <c r="C167" s="5" t="inlineStr">
        <is>
          <t>A21004</t>
        </is>
      </c>
      <c r="D167" s="5" t="inlineStr">
        <is>
          <t>taichung</t>
        </is>
      </c>
      <c r="E167" s="5" t="inlineStr">
        <is>
          <t>4期重劃</t>
        </is>
      </c>
      <c r="F167" s="5" t="inlineStr">
        <is>
          <t>公辦市地重劃</t>
        </is>
      </c>
      <c r="G167" s="5" t="inlineStr">
        <is>
          <t>鼎天商務大樓</t>
        </is>
      </c>
      <c r="H167" s="5" t="inlineStr"/>
      <c r="I167" s="5" t="inlineStr">
        <is>
          <t>87戶</t>
        </is>
      </c>
      <c r="J167" s="5" t="inlineStr"/>
      <c r="K167" s="5" t="inlineStr">
        <is>
          <t>23.4萬/坪</t>
        </is>
      </c>
      <c r="L167" s="5" t="inlineStr"/>
      <c r="M167" s="5" t="inlineStr">
        <is>
          <t>已完工</t>
        </is>
      </c>
      <c r="N167" s="5" t="inlineStr">
        <is>
          <t>L3</t>
        </is>
      </c>
      <c r="O167" s="5" t="inlineStr">
        <is>
          <t>https://market.591.com.tw/13898</t>
        </is>
      </c>
    </row>
    <row r="168">
      <c r="A168" s="5" t="n">
        <v>167</v>
      </c>
      <c r="B168" s="5" t="inlineStr">
        <is>
          <t>臺中市</t>
        </is>
      </c>
      <c r="C168" s="5" t="inlineStr">
        <is>
          <t>A21004</t>
        </is>
      </c>
      <c r="D168" s="5" t="inlineStr">
        <is>
          <t>taichung</t>
        </is>
      </c>
      <c r="E168" s="5" t="inlineStr">
        <is>
          <t>5期重劃</t>
        </is>
      </c>
      <c r="F168" s="5" t="inlineStr">
        <is>
          <t>公辦市地重劃</t>
        </is>
      </c>
      <c r="G168" s="5" t="inlineStr">
        <is>
          <t>惠宇大容居</t>
        </is>
      </c>
      <c r="H168" s="5" t="inlineStr">
        <is>
          <t>惠宇建設</t>
        </is>
      </c>
      <c r="I168" s="5" t="inlineStr"/>
      <c r="J168" s="5" t="inlineStr"/>
      <c r="K168" s="5" t="inlineStr">
        <is>
          <t>45.5-50.4萬/坪</t>
        </is>
      </c>
      <c r="L168" s="5" t="inlineStr"/>
      <c r="M168" s="5" t="inlineStr">
        <is>
          <t>銷售中</t>
        </is>
      </c>
      <c r="N168" s="5" t="inlineStr">
        <is>
          <t>L3</t>
        </is>
      </c>
      <c r="O168" s="5" t="inlineStr">
        <is>
          <t>https://community.houseprice.tw/building/13657/</t>
        </is>
      </c>
    </row>
    <row r="169">
      <c r="A169" s="5" t="n">
        <v>168</v>
      </c>
      <c r="B169" s="5" t="inlineStr">
        <is>
          <t>臺中市</t>
        </is>
      </c>
      <c r="C169" s="5" t="inlineStr">
        <is>
          <t>A21004</t>
        </is>
      </c>
      <c r="D169" s="5" t="inlineStr">
        <is>
          <t>taichung</t>
        </is>
      </c>
      <c r="E169" s="5" t="inlineStr">
        <is>
          <t>5期重劃</t>
        </is>
      </c>
      <c r="F169" s="5" t="inlineStr">
        <is>
          <t>公辦市地重劃</t>
        </is>
      </c>
      <c r="G169" s="5" t="inlineStr">
        <is>
          <t>國美晴空</t>
        </is>
      </c>
      <c r="H169" s="5" t="inlineStr">
        <is>
          <t>采揚建設</t>
        </is>
      </c>
      <c r="I169" s="5" t="inlineStr"/>
      <c r="J169" s="5" t="inlineStr"/>
      <c r="K169" s="5" t="inlineStr">
        <is>
          <t>21.82-29萬/坪</t>
        </is>
      </c>
      <c r="L169" s="5" t="inlineStr"/>
      <c r="M169" s="5" t="inlineStr">
        <is>
          <t>已完銷</t>
        </is>
      </c>
      <c r="N169" s="5" t="inlineStr">
        <is>
          <t>L3</t>
        </is>
      </c>
      <c r="O169" s="5" t="inlineStr">
        <is>
          <t>https://knowhouse.tw/3519</t>
        </is>
      </c>
    </row>
    <row r="170">
      <c r="A170" s="5" t="n">
        <v>169</v>
      </c>
      <c r="B170" s="5" t="inlineStr">
        <is>
          <t>臺中市</t>
        </is>
      </c>
      <c r="C170" s="5" t="inlineStr">
        <is>
          <t>A21004</t>
        </is>
      </c>
      <c r="D170" s="5" t="inlineStr">
        <is>
          <t>taichung</t>
        </is>
      </c>
      <c r="E170" s="5" t="inlineStr">
        <is>
          <t>5期重劃</t>
        </is>
      </c>
      <c r="F170" s="5" t="inlineStr">
        <is>
          <t>公辦市地重劃</t>
        </is>
      </c>
      <c r="G170" s="5" t="inlineStr">
        <is>
          <t>鉅陞藏賦</t>
        </is>
      </c>
      <c r="H170" s="5" t="inlineStr">
        <is>
          <t>鉅陞</t>
        </is>
      </c>
      <c r="I170" s="5" t="inlineStr"/>
      <c r="J170" s="5" t="inlineStr">
        <is>
          <t>18-44坪</t>
        </is>
      </c>
      <c r="K170" s="5" t="inlineStr"/>
      <c r="L170" s="5" t="inlineStr"/>
      <c r="M170" s="5" t="inlineStr"/>
      <c r="N170" s="5" t="inlineStr">
        <is>
          <t>L3</t>
        </is>
      </c>
      <c r="O170" s="5" t="inlineStr">
        <is>
          <t>https://www.housefeel.com.tw/housing-project/taichung-city/%E9%89%85%E9%99%9E%E8%97%8F%E8%B3%A6/</t>
        </is>
      </c>
    </row>
    <row r="171">
      <c r="A171" s="5" t="n">
        <v>170</v>
      </c>
      <c r="B171" s="5" t="inlineStr">
        <is>
          <t>臺中市</t>
        </is>
      </c>
      <c r="C171" s="5" t="inlineStr">
        <is>
          <t>A21004</t>
        </is>
      </c>
      <c r="D171" s="5" t="inlineStr">
        <is>
          <t>taichung</t>
        </is>
      </c>
      <c r="E171" s="5" t="inlineStr">
        <is>
          <t>7期重劃</t>
        </is>
      </c>
      <c r="F171" s="5" t="inlineStr">
        <is>
          <t>公辦市地重劃</t>
        </is>
      </c>
      <c r="G171" s="5" t="inlineStr">
        <is>
          <t>聯聚信義大廈</t>
        </is>
      </c>
      <c r="H171" s="5" t="inlineStr">
        <is>
          <t>聯聚</t>
        </is>
      </c>
      <c r="I171" s="5" t="inlineStr">
        <is>
          <t>50戶</t>
        </is>
      </c>
      <c r="J171" s="5" t="inlineStr">
        <is>
          <t>177-355坪</t>
        </is>
      </c>
      <c r="K171" s="5" t="inlineStr"/>
      <c r="L171" s="5" t="inlineStr"/>
      <c r="M171" s="5" t="inlineStr">
        <is>
          <t>已完工</t>
        </is>
      </c>
      <c r="N171" s="5" t="inlineStr">
        <is>
          <t>L3</t>
        </is>
      </c>
      <c r="O171" s="5" t="inlineStr">
        <is>
          <t>https://www.housefeel.com.tw/article/%E4%B8%83%E6%9C%9F-%E5%8F%B0%E4%B8%AD%E4%B8%83%E6%9C%9F-%E4%B8%83%E6%9C%9F%E8%B1%AA%E5%AE%85-%E4%B8%83%E6%9C%9F%E6%88%BF%E5%83%B9/</t>
        </is>
      </c>
    </row>
    <row r="172">
      <c r="A172" s="5" t="n">
        <v>171</v>
      </c>
      <c r="B172" s="5" t="inlineStr">
        <is>
          <t>臺中市</t>
        </is>
      </c>
      <c r="C172" s="5" t="inlineStr">
        <is>
          <t>A21004</t>
        </is>
      </c>
      <c r="D172" s="5" t="inlineStr">
        <is>
          <t>taichung</t>
        </is>
      </c>
      <c r="E172" s="5" t="inlineStr">
        <is>
          <t>7期重劃</t>
        </is>
      </c>
      <c r="F172" s="5" t="inlineStr">
        <is>
          <t>公辦市地重劃</t>
        </is>
      </c>
      <c r="G172" s="5" t="inlineStr">
        <is>
          <t>寶輝秋紅谷</t>
        </is>
      </c>
      <c r="H172" s="5" t="inlineStr">
        <is>
          <t>寶輝</t>
        </is>
      </c>
      <c r="I172" s="5" t="inlineStr">
        <is>
          <t>146戶</t>
        </is>
      </c>
      <c r="J172" s="5" t="inlineStr">
        <is>
          <t>157-171坪</t>
        </is>
      </c>
      <c r="K172" s="5" t="inlineStr"/>
      <c r="L172" s="5" t="inlineStr"/>
      <c r="M172" s="5" t="inlineStr">
        <is>
          <t>已完工</t>
        </is>
      </c>
      <c r="N172" s="5" t="inlineStr">
        <is>
          <t>L3</t>
        </is>
      </c>
      <c r="O172" s="5" t="inlineStr">
        <is>
          <t>https://www.housefeel.com.tw/article/%E4%B8%83%E6%9C%9F-%E5%8F%B0%E4%B8%AD%E4%B8%83%E6%9C%9F-%E4%B8%83%E6%9C%9F%E8%B1%AA%E5%AE%85-%E4%B8%83%E6%9C%9F%E6%88%BF%E5%83%B9/</t>
        </is>
      </c>
    </row>
    <row r="173">
      <c r="A173" s="5" t="n">
        <v>172</v>
      </c>
      <c r="B173" s="5" t="inlineStr">
        <is>
          <t>臺中市</t>
        </is>
      </c>
      <c r="C173" s="5" t="inlineStr">
        <is>
          <t>A21004</t>
        </is>
      </c>
      <c r="D173" s="5" t="inlineStr">
        <is>
          <t>taichung</t>
        </is>
      </c>
      <c r="E173" s="5" t="inlineStr">
        <is>
          <t>7期重劃</t>
        </is>
      </c>
      <c r="F173" s="5" t="inlineStr">
        <is>
          <t>公辦市地重劃</t>
        </is>
      </c>
      <c r="G173" s="5" t="inlineStr">
        <is>
          <t>大陸寶格</t>
        </is>
      </c>
      <c r="H173" s="5" t="inlineStr">
        <is>
          <t>大陸建設</t>
        </is>
      </c>
      <c r="I173" s="5" t="inlineStr">
        <is>
          <t>67戶</t>
        </is>
      </c>
      <c r="J173" s="5" t="inlineStr">
        <is>
          <t>147-187坪</t>
        </is>
      </c>
      <c r="K173" s="5" t="inlineStr"/>
      <c r="L173" s="5" t="inlineStr"/>
      <c r="M173" s="5" t="inlineStr">
        <is>
          <t>已完工</t>
        </is>
      </c>
      <c r="N173" s="5" t="inlineStr">
        <is>
          <t>L3</t>
        </is>
      </c>
      <c r="O173" s="5" t="inlineStr">
        <is>
          <t>https://www.housefeel.com.tw/article/%E4%B8%83%E6%9C%9F-%E5%8F%B0%E4%B8%AD%E4%B8%83%E6%9C%9F-%E4%B8%83%E6%9C%9F%E8%B1%AA%E5%AE%85-%E4%B8%83%E6%9C%9F%E6%88%BF%E5%83%B9/</t>
        </is>
      </c>
    </row>
    <row r="174">
      <c r="A174" s="5" t="n">
        <v>173</v>
      </c>
      <c r="B174" s="5" t="inlineStr">
        <is>
          <t>臺中市</t>
        </is>
      </c>
      <c r="C174" s="5" t="inlineStr">
        <is>
          <t>A21004</t>
        </is>
      </c>
      <c r="D174" s="5" t="inlineStr">
        <is>
          <t>taichung</t>
        </is>
      </c>
      <c r="E174" s="5" t="inlineStr">
        <is>
          <t>7期重劃</t>
        </is>
      </c>
      <c r="F174" s="5" t="inlineStr">
        <is>
          <t>公辦市地重劃</t>
        </is>
      </c>
      <c r="G174" s="5" t="inlineStr">
        <is>
          <t>寶璽天睿</t>
        </is>
      </c>
      <c r="H174" s="5" t="inlineStr">
        <is>
          <t>寶璽建設</t>
        </is>
      </c>
      <c r="I174" s="5" t="inlineStr">
        <is>
          <t>65戶</t>
        </is>
      </c>
      <c r="J174" s="5" t="inlineStr">
        <is>
          <t>160-320坪</t>
        </is>
      </c>
      <c r="K174" s="5" t="inlineStr"/>
      <c r="L174" s="5" t="inlineStr"/>
      <c r="M174" s="5" t="inlineStr">
        <is>
          <t>已完工</t>
        </is>
      </c>
      <c r="N174" s="5" t="inlineStr">
        <is>
          <t>L3</t>
        </is>
      </c>
      <c r="O174" s="5" t="inlineStr">
        <is>
          <t>https://www.housefeel.com.tw/article/%E4%B8%83%E6%9C%9F-%E5%8F%B0%E4%B8%AD%E4%B8%83%E6%9C%9F-%E4%B8%83%E6%9C%9F%E8%B1%AA%E5%AE%85-%E4%B8%83%E6%9C%9F%E6%88%BF%E5%83%B9/</t>
        </is>
      </c>
    </row>
    <row r="175">
      <c r="A175" s="5" t="n">
        <v>174</v>
      </c>
      <c r="B175" s="5" t="inlineStr">
        <is>
          <t>臺中市</t>
        </is>
      </c>
      <c r="C175" s="5" t="inlineStr">
        <is>
          <t>A21004</t>
        </is>
      </c>
      <c r="D175" s="5" t="inlineStr">
        <is>
          <t>taichung</t>
        </is>
      </c>
      <c r="E175" s="5" t="inlineStr">
        <is>
          <t>7期重劃</t>
        </is>
      </c>
      <c r="F175" s="5" t="inlineStr">
        <is>
          <t>公辦市地重劃</t>
        </is>
      </c>
      <c r="G175" s="5" t="inlineStr">
        <is>
          <t>國泰層峰</t>
        </is>
      </c>
      <c r="H175" s="5" t="inlineStr">
        <is>
          <t>國泰建設</t>
        </is>
      </c>
      <c r="I175" s="5" t="inlineStr">
        <is>
          <t>54戶</t>
        </is>
      </c>
      <c r="J175" s="5" t="inlineStr">
        <is>
          <t>132坪</t>
        </is>
      </c>
      <c r="K175" s="5" t="inlineStr"/>
      <c r="L175" s="5" t="inlineStr"/>
      <c r="M175" s="5" t="inlineStr">
        <is>
          <t>已完工</t>
        </is>
      </c>
      <c r="N175" s="5" t="inlineStr">
        <is>
          <t>L3</t>
        </is>
      </c>
      <c r="O175" s="5" t="inlineStr">
        <is>
          <t>https://www.housefeel.com.tw/article/%E4%B8%83%E6%9C%9F-%E5%8F%B0%E4%B8%AD%E4%B8%83%E6%9C%9F-%E4%B8%83%E6%9C%9F%E8%B1%AA%E5%AE%85-%E4%B8%83%E6%9C%9F%E6%88%BF%E5%83%B9/</t>
        </is>
      </c>
    </row>
    <row r="176">
      <c r="A176" s="5" t="n">
        <v>175</v>
      </c>
      <c r="B176" s="5" t="inlineStr">
        <is>
          <t>臺中市</t>
        </is>
      </c>
      <c r="C176" s="5" t="inlineStr">
        <is>
          <t>A21004</t>
        </is>
      </c>
      <c r="D176" s="5" t="inlineStr">
        <is>
          <t>taichung</t>
        </is>
      </c>
      <c r="E176" s="5" t="inlineStr">
        <is>
          <t>7期重劃</t>
        </is>
      </c>
      <c r="F176" s="5" t="inlineStr">
        <is>
          <t>公辦市地重劃</t>
        </is>
      </c>
      <c r="G176" s="5" t="inlineStr">
        <is>
          <t>新朗日匯</t>
        </is>
      </c>
      <c r="H176" s="5" t="inlineStr">
        <is>
          <t>新朗建設</t>
        </is>
      </c>
      <c r="I176" s="5" t="inlineStr">
        <is>
          <t>148戶</t>
        </is>
      </c>
      <c r="J176" s="5" t="inlineStr">
        <is>
          <t>100坪以上</t>
        </is>
      </c>
      <c r="K176" s="5" t="inlineStr"/>
      <c r="L176" s="5" t="inlineStr"/>
      <c r="M176" s="5" t="inlineStr">
        <is>
          <t>已完工</t>
        </is>
      </c>
      <c r="N176" s="5" t="inlineStr">
        <is>
          <t>L3</t>
        </is>
      </c>
      <c r="O176" s="5" t="inlineStr">
        <is>
          <t>https://www.housefeel.com.tw/article/%E4%B8%83%E6%9C%9F-%E5%8F%B0%E4%B8%AD%E4%B8%83%E6%9C%9F-%E4%B8%83%E6%9C%9F%E8%B1%AA%E5%AE%85-%E4%B8%83%E6%9C%9F%E6%88%BF%E5%83%B9/</t>
        </is>
      </c>
    </row>
    <row r="177">
      <c r="A177" s="5" t="n">
        <v>176</v>
      </c>
      <c r="B177" s="5" t="inlineStr">
        <is>
          <t>臺中市</t>
        </is>
      </c>
      <c r="C177" s="5" t="inlineStr">
        <is>
          <t>A21004</t>
        </is>
      </c>
      <c r="D177" s="5" t="inlineStr">
        <is>
          <t>taichung</t>
        </is>
      </c>
      <c r="E177" s="5" t="inlineStr">
        <is>
          <t>7期重劃</t>
        </is>
      </c>
      <c r="F177" s="5" t="inlineStr">
        <is>
          <t>公辦市地重劃</t>
        </is>
      </c>
      <c r="G177" s="5" t="inlineStr">
        <is>
          <t>聯聚瑞和大廈</t>
        </is>
      </c>
      <c r="H177" s="5" t="inlineStr">
        <is>
          <t>聯聚</t>
        </is>
      </c>
      <c r="I177" s="5" t="inlineStr">
        <is>
          <t>80戶</t>
        </is>
      </c>
      <c r="J177" s="5" t="inlineStr">
        <is>
          <t>169-338坪</t>
        </is>
      </c>
      <c r="K177" s="5" t="inlineStr"/>
      <c r="L177" s="5" t="inlineStr"/>
      <c r="M177" s="5" t="inlineStr">
        <is>
          <t>已完工</t>
        </is>
      </c>
      <c r="N177" s="5" t="inlineStr">
        <is>
          <t>L3</t>
        </is>
      </c>
      <c r="O177" s="5" t="inlineStr">
        <is>
          <t>https://www.housefeel.com.tw/article/%E4%B8%83%E6%9C%9F-%E5%8F%B0%E4%B8%AD%E4%B8%83%E6%9C%9F-%E4%B8%83%E6%9C%9F%E8%B1%AA%E5%AE%85-%E4%B8%83%E6%9C%9F%E6%88%BF%E5%83%B9/</t>
        </is>
      </c>
    </row>
    <row r="178">
      <c r="A178" s="5" t="n">
        <v>177</v>
      </c>
      <c r="B178" s="5" t="inlineStr">
        <is>
          <t>臺中市</t>
        </is>
      </c>
      <c r="C178" s="5" t="inlineStr">
        <is>
          <t>A21004</t>
        </is>
      </c>
      <c r="D178" s="5" t="inlineStr">
        <is>
          <t>taichung</t>
        </is>
      </c>
      <c r="E178" s="5" t="inlineStr">
        <is>
          <t>7期重劃</t>
        </is>
      </c>
      <c r="F178" s="5" t="inlineStr">
        <is>
          <t>公辦市地重劃</t>
        </is>
      </c>
      <c r="G178" s="5" t="inlineStr">
        <is>
          <t>寶輝SKY TOWER</t>
        </is>
      </c>
      <c r="H178" s="5" t="inlineStr">
        <is>
          <t>寶輝</t>
        </is>
      </c>
      <c r="I178" s="5" t="inlineStr">
        <is>
          <t>121戶</t>
        </is>
      </c>
      <c r="J178" s="5" t="inlineStr">
        <is>
          <t>70-185坪</t>
        </is>
      </c>
      <c r="K178" s="5" t="inlineStr"/>
      <c r="L178" s="5" t="inlineStr"/>
      <c r="M178" s="5" t="inlineStr">
        <is>
          <t>已完工</t>
        </is>
      </c>
      <c r="N178" s="5" t="inlineStr">
        <is>
          <t>L3</t>
        </is>
      </c>
      <c r="O178" s="5" t="inlineStr">
        <is>
          <t>https://www.housefeel.com.tw/article/%E4%B8%83%E6%9C%9F-%E5%8F%B0%E4%B8%AD%E4%B8%83%E6%9C%9F-%E4%B8%83%E6%9C%9F%E8%B1%AA%E5%AE%85-%E4%B8%83%E6%9C%9F%E6%88%BF%E5%83%B9/</t>
        </is>
      </c>
    </row>
    <row r="179">
      <c r="A179" s="5" t="n">
        <v>178</v>
      </c>
      <c r="B179" s="5" t="inlineStr">
        <is>
          <t>臺中市</t>
        </is>
      </c>
      <c r="C179" s="5" t="inlineStr">
        <is>
          <t>A21004</t>
        </is>
      </c>
      <c r="D179" s="5" t="inlineStr">
        <is>
          <t>taichung</t>
        </is>
      </c>
      <c r="E179" s="5" t="inlineStr">
        <is>
          <t>7期重劃</t>
        </is>
      </c>
      <c r="F179" s="5" t="inlineStr">
        <is>
          <t>公辦市地重劃</t>
        </is>
      </c>
      <c r="G179" s="5" t="inlineStr">
        <is>
          <t>麗晨語山簷</t>
        </is>
      </c>
      <c r="H179" s="5" t="inlineStr">
        <is>
          <t>麗晨建設</t>
        </is>
      </c>
      <c r="I179" s="5" t="inlineStr">
        <is>
          <t>42戶</t>
        </is>
      </c>
      <c r="J179" s="5" t="inlineStr">
        <is>
          <t>55-70坪</t>
        </is>
      </c>
      <c r="K179" s="5" t="inlineStr"/>
      <c r="L179" s="5" t="inlineStr"/>
      <c r="M179" s="5" t="inlineStr">
        <is>
          <t>已完工</t>
        </is>
      </c>
      <c r="N179" s="5" t="inlineStr">
        <is>
          <t>L3</t>
        </is>
      </c>
      <c r="O179" s="5" t="inlineStr">
        <is>
          <t>https://www.housefeel.com.tw/article/%E4%B8%83%E6%9C%9F-%E5%8F%B0%E4%B8%AD%E4%B8%83%E6%9C%9F-%E4%B8%83%E6%9C%9F%E8%B1%AA%E5%AE%85-%E4%B8%83%E6%9C%9F%E6%88%BF%E5%83%B9/</t>
        </is>
      </c>
    </row>
    <row r="180">
      <c r="A180" s="5" t="n">
        <v>179</v>
      </c>
      <c r="B180" s="5" t="inlineStr">
        <is>
          <t>臺中市</t>
        </is>
      </c>
      <c r="C180" s="5" t="inlineStr">
        <is>
          <t>A21004</t>
        </is>
      </c>
      <c r="D180" s="5" t="inlineStr">
        <is>
          <t>taichung</t>
        </is>
      </c>
      <c r="E180" s="5" t="inlineStr">
        <is>
          <t>7期重劃</t>
        </is>
      </c>
      <c r="F180" s="5" t="inlineStr">
        <is>
          <t>公辦市地重劃</t>
        </is>
      </c>
      <c r="G180" s="5" t="inlineStr">
        <is>
          <t>豐蒔</t>
        </is>
      </c>
      <c r="H180" s="5" t="inlineStr"/>
      <c r="I180" s="5" t="inlineStr">
        <is>
          <t>84戶</t>
        </is>
      </c>
      <c r="J180" s="5" t="inlineStr">
        <is>
          <t>51-82坪</t>
        </is>
      </c>
      <c r="K180" s="5" t="inlineStr"/>
      <c r="L180" s="5" t="inlineStr"/>
      <c r="M180" s="5" t="inlineStr">
        <is>
          <t>新成屋</t>
        </is>
      </c>
      <c r="N180" s="5" t="inlineStr">
        <is>
          <t>L3</t>
        </is>
      </c>
      <c r="O180" s="5" t="inlineStr">
        <is>
          <t>https://www.housefeel.com.tw/article/%E4%B8%83%E6%9C%9F-%E5%8F%B0%E4%B8%AD%E4%B8%83%E6%9C%9F-%E4%B8%83%E6%9C%9F%E8%B1%AA%E5%AE%85-%E4%B8%83%E6%9C%9F%E6%88%BF%E5%83%B9/</t>
        </is>
      </c>
    </row>
    <row r="181">
      <c r="A181" s="5" t="n">
        <v>180</v>
      </c>
      <c r="B181" s="5" t="inlineStr">
        <is>
          <t>臺中市</t>
        </is>
      </c>
      <c r="C181" s="5" t="inlineStr">
        <is>
          <t>A21004</t>
        </is>
      </c>
      <c r="D181" s="5" t="inlineStr">
        <is>
          <t>taichung</t>
        </is>
      </c>
      <c r="E181" s="5" t="inlineStr">
        <is>
          <t>7期重劃</t>
        </is>
      </c>
      <c r="F181" s="5" t="inlineStr">
        <is>
          <t>公辦市地重劃</t>
        </is>
      </c>
      <c r="G181" s="5" t="inlineStr">
        <is>
          <t>V市政</t>
        </is>
      </c>
      <c r="H181" s="5" t="inlineStr"/>
      <c r="I181" s="5" t="inlineStr">
        <is>
          <t>50戶</t>
        </is>
      </c>
      <c r="J181" s="5" t="inlineStr">
        <is>
          <t>39-50坪</t>
        </is>
      </c>
      <c r="K181" s="5" t="inlineStr"/>
      <c r="L181" s="5" t="inlineStr"/>
      <c r="M181" s="5" t="inlineStr">
        <is>
          <t>新成屋</t>
        </is>
      </c>
      <c r="N181" s="5" t="inlineStr">
        <is>
          <t>L3</t>
        </is>
      </c>
      <c r="O181" s="5" t="inlineStr">
        <is>
          <t>https://www.housefeel.com.tw/article/%E4%B8%83%E6%9C%9F-%E5%8F%B0%E4%B8%AD%E4%B8%83%E6%9C%9F-%E4%B8%83%E6%9C%9F%E8%B1%AA%E5%AE%85-%E4%B8%83%E6%9C%9F%E6%88%BF%E5%83%B9/</t>
        </is>
      </c>
    </row>
    <row r="182">
      <c r="A182" s="5" t="n">
        <v>181</v>
      </c>
      <c r="B182" s="5" t="inlineStr">
        <is>
          <t>臺中市</t>
        </is>
      </c>
      <c r="C182" s="5" t="inlineStr">
        <is>
          <t>A21004</t>
        </is>
      </c>
      <c r="D182" s="5" t="inlineStr">
        <is>
          <t>taichung</t>
        </is>
      </c>
      <c r="E182" s="5" t="inlineStr">
        <is>
          <t>7期重劃</t>
        </is>
      </c>
      <c r="F182" s="5" t="inlineStr">
        <is>
          <t>公辦市地重劃</t>
        </is>
      </c>
      <c r="G182" s="5" t="inlineStr">
        <is>
          <t>鉑金愛悅</t>
        </is>
      </c>
      <c r="H182" s="5" t="inlineStr"/>
      <c r="I182" s="5" t="inlineStr">
        <is>
          <t>271戶</t>
        </is>
      </c>
      <c r="J182" s="5" t="inlineStr">
        <is>
          <t>46-66坪</t>
        </is>
      </c>
      <c r="K182" s="5" t="inlineStr"/>
      <c r="L182" s="5" t="inlineStr"/>
      <c r="M182" s="5" t="inlineStr">
        <is>
          <t>新成屋</t>
        </is>
      </c>
      <c r="N182" s="5" t="inlineStr">
        <is>
          <t>L3</t>
        </is>
      </c>
      <c r="O182" s="5" t="inlineStr">
        <is>
          <t>https://www.housefeel.com.tw/article/%E4%B8%83%E6%9C%9F-%E5%8F%B0%E4%B8%AD%E4%B8%83%E6%9C%9F-%E4%B8%83%E6%9C%9F%E8%B1%AA%E5%AE%85-%E4%B8%83%E6%9C%9F%E6%88%BF%E5%83%B9/</t>
        </is>
      </c>
    </row>
    <row r="183">
      <c r="A183" s="5" t="n">
        <v>182</v>
      </c>
      <c r="B183" s="5" t="inlineStr">
        <is>
          <t>臺中市</t>
        </is>
      </c>
      <c r="C183" s="5" t="inlineStr">
        <is>
          <t>A21004</t>
        </is>
      </c>
      <c r="D183" s="5" t="inlineStr">
        <is>
          <t>taichung</t>
        </is>
      </c>
      <c r="E183" s="5" t="inlineStr">
        <is>
          <t>7期重劃</t>
        </is>
      </c>
      <c r="F183" s="5" t="inlineStr">
        <is>
          <t>公辦市地重劃</t>
        </is>
      </c>
      <c r="G183" s="5" t="inlineStr">
        <is>
          <t>寶輝101 Theater South</t>
        </is>
      </c>
      <c r="H183" s="5" t="inlineStr">
        <is>
          <t>寶輝</t>
        </is>
      </c>
      <c r="I183" s="5" t="inlineStr">
        <is>
          <t>138戶</t>
        </is>
      </c>
      <c r="J183" s="5" t="inlineStr">
        <is>
          <t>37-100坪</t>
        </is>
      </c>
      <c r="K183" s="5" t="inlineStr"/>
      <c r="L183" s="5" t="inlineStr"/>
      <c r="M183" s="5" t="inlineStr">
        <is>
          <t>預售</t>
        </is>
      </c>
      <c r="N183" s="5" t="inlineStr">
        <is>
          <t>L3</t>
        </is>
      </c>
      <c r="O183" s="5" t="inlineStr">
        <is>
          <t>https://www.housefeel.com.tw/article/%E4%B8%83%E6%9C%9F-%E5%8F%B0%E4%B8%AD%E4%B8%83%E6%9C%9F-%E4%B8%83%E6%9C%9F%E8%B1%AA%E5%AE%85-%E4%B8%83%E6%9C%9F%E6%88%BF%E5%83%B9/</t>
        </is>
      </c>
    </row>
    <row r="184">
      <c r="A184" s="5" t="n">
        <v>183</v>
      </c>
      <c r="B184" s="5" t="inlineStr">
        <is>
          <t>臺中市</t>
        </is>
      </c>
      <c r="C184" s="5" t="inlineStr">
        <is>
          <t>A21004</t>
        </is>
      </c>
      <c r="D184" s="5" t="inlineStr">
        <is>
          <t>taichung</t>
        </is>
      </c>
      <c r="E184" s="5" t="inlineStr">
        <is>
          <t>7期重劃</t>
        </is>
      </c>
      <c r="F184" s="5" t="inlineStr">
        <is>
          <t>公辦市地重劃</t>
        </is>
      </c>
      <c r="G184" s="5" t="inlineStr">
        <is>
          <t>遠雄琉蘊</t>
        </is>
      </c>
      <c r="H184" s="5" t="inlineStr">
        <is>
          <t>遠雄建設</t>
        </is>
      </c>
      <c r="I184" s="5" t="inlineStr">
        <is>
          <t>336戶</t>
        </is>
      </c>
      <c r="J184" s="5" t="inlineStr">
        <is>
          <t>33-45坪</t>
        </is>
      </c>
      <c r="K184" s="5" t="inlineStr"/>
      <c r="L184" s="5" t="inlineStr"/>
      <c r="M184" s="5" t="inlineStr">
        <is>
          <t>預售</t>
        </is>
      </c>
      <c r="N184" s="5" t="inlineStr">
        <is>
          <t>L3</t>
        </is>
      </c>
      <c r="O184" s="5" t="inlineStr">
        <is>
          <t>https://www.housefeel.com.tw/article/%E4%B8%83%E6%9C%9F-%E5%8F%B0%E4%B8%AD%E4%B8%83%E6%9C%9F-%E4%B8%83%E6%9C%9F%E8%B1%AA%E5%AE%85-%E4%B8%83%E6%9C%9F%E6%88%BF%E5%83%B9/</t>
        </is>
      </c>
    </row>
    <row r="185">
      <c r="A185" s="5" t="n">
        <v>184</v>
      </c>
      <c r="B185" s="5" t="inlineStr">
        <is>
          <t>臺中市</t>
        </is>
      </c>
      <c r="C185" s="5" t="inlineStr">
        <is>
          <t>A21004</t>
        </is>
      </c>
      <c r="D185" s="5" t="inlineStr">
        <is>
          <t>taichung</t>
        </is>
      </c>
      <c r="E185" s="5" t="inlineStr">
        <is>
          <t>7期重劃</t>
        </is>
      </c>
      <c r="F185" s="5" t="inlineStr">
        <is>
          <t>公辦市地重劃</t>
        </is>
      </c>
      <c r="G185" s="5" t="inlineStr">
        <is>
          <t>惠宇大疆</t>
        </is>
      </c>
      <c r="H185" s="5" t="inlineStr">
        <is>
          <t>惠宇建設</t>
        </is>
      </c>
      <c r="I185" s="5" t="inlineStr">
        <is>
          <t>329戶</t>
        </is>
      </c>
      <c r="J185" s="5" t="inlineStr">
        <is>
          <t>30-55坪</t>
        </is>
      </c>
      <c r="K185" s="5" t="inlineStr"/>
      <c r="L185" s="5" t="inlineStr"/>
      <c r="M185" s="5" t="inlineStr">
        <is>
          <t>預售</t>
        </is>
      </c>
      <c r="N185" s="5" t="inlineStr">
        <is>
          <t>L3</t>
        </is>
      </c>
      <c r="O185" s="5" t="inlineStr">
        <is>
          <t>https://www.housefeel.com.tw/article/%E4%B8%83%E6%9C%9F-%E5%8F%B0%E4%B8%AD%E4%B8%83%E6%9C%9F-%E4%B8%83%E6%9C%9F%E8%B1%AA%E5%AE%85-%E4%B8%83%E6%9C%9F%E6%88%BF%E5%83%B9/</t>
        </is>
      </c>
    </row>
    <row r="186">
      <c r="A186" s="5" t="n">
        <v>185</v>
      </c>
      <c r="B186" s="5" t="inlineStr">
        <is>
          <t>臺中市</t>
        </is>
      </c>
      <c r="C186" s="5" t="inlineStr">
        <is>
          <t>A21004</t>
        </is>
      </c>
      <c r="D186" s="5" t="inlineStr">
        <is>
          <t>taichung</t>
        </is>
      </c>
      <c r="E186" s="5" t="inlineStr">
        <is>
          <t>7期重劃</t>
        </is>
      </c>
      <c r="F186" s="5" t="inlineStr">
        <is>
          <t>公辦市地重劃</t>
        </is>
      </c>
      <c r="G186" s="5" t="inlineStr">
        <is>
          <t>大錸秋紅谷之森</t>
        </is>
      </c>
      <c r="H186" s="5" t="inlineStr">
        <is>
          <t>大錸建設</t>
        </is>
      </c>
      <c r="I186" s="5" t="inlineStr">
        <is>
          <t>23戶</t>
        </is>
      </c>
      <c r="J186" s="5" t="inlineStr">
        <is>
          <t>47坪</t>
        </is>
      </c>
      <c r="K186" s="5" t="inlineStr"/>
      <c r="L186" s="5" t="inlineStr"/>
      <c r="M186" s="5" t="inlineStr">
        <is>
          <t>預售</t>
        </is>
      </c>
      <c r="N186" s="5" t="inlineStr">
        <is>
          <t>L3</t>
        </is>
      </c>
      <c r="O186" s="5" t="inlineStr">
        <is>
          <t>https://www.housefeel.com.tw/article/%E4%B8%83%E6%9C%9F-%E5%8F%B0%E4%B8%AD%E4%B8%83%E6%9C%9F-%E4%B8%83%E6%9C%9F%E8%B1%AA%E5%AE%85-%E4%B8%83%E6%9C%9F%E6%88%BF%E5%83%B9/</t>
        </is>
      </c>
    </row>
    <row r="187">
      <c r="A187" s="5" t="n">
        <v>186</v>
      </c>
      <c r="B187" s="5" t="inlineStr">
        <is>
          <t>臺中市</t>
        </is>
      </c>
      <c r="C187" s="5" t="inlineStr">
        <is>
          <t>A21004</t>
        </is>
      </c>
      <c r="D187" s="5" t="inlineStr">
        <is>
          <t>taichung</t>
        </is>
      </c>
      <c r="E187" s="5" t="inlineStr">
        <is>
          <t>7期重劃</t>
        </is>
      </c>
      <c r="F187" s="5" t="inlineStr">
        <is>
          <t>公辦市地重劃</t>
        </is>
      </c>
      <c r="G187" s="5" t="inlineStr">
        <is>
          <t>鉅陞青山旭</t>
        </is>
      </c>
      <c r="H187" s="5" t="inlineStr">
        <is>
          <t>鉅陞</t>
        </is>
      </c>
      <c r="I187" s="5" t="inlineStr">
        <is>
          <t>98戶</t>
        </is>
      </c>
      <c r="J187" s="5" t="inlineStr">
        <is>
          <t>27-41坪</t>
        </is>
      </c>
      <c r="K187" s="5" t="inlineStr"/>
      <c r="L187" s="5" t="inlineStr"/>
      <c r="M187" s="5" t="inlineStr">
        <is>
          <t>預售</t>
        </is>
      </c>
      <c r="N187" s="5" t="inlineStr">
        <is>
          <t>L3</t>
        </is>
      </c>
      <c r="O187" s="5" t="inlineStr">
        <is>
          <t>https://www.housefeel.com.tw/article/%E4%B8%83%E6%9C%9F-%E5%8F%B0%E4%B8%AD%E4%B8%83%E6%9C%9F-%E4%B8%83%E6%9C%9F%E8%B1%AA%E5%AE%85-%E4%B8%83%E6%9C%9F%E6%88%BF%E5%83%B9/</t>
        </is>
      </c>
    </row>
    <row r="188">
      <c r="A188" s="5" t="n">
        <v>187</v>
      </c>
      <c r="B188" s="5" t="inlineStr">
        <is>
          <t>臺中市</t>
        </is>
      </c>
      <c r="C188" s="5" t="inlineStr">
        <is>
          <t>A21004</t>
        </is>
      </c>
      <c r="D188" s="5" t="inlineStr">
        <is>
          <t>taichung</t>
        </is>
      </c>
      <c r="E188" s="5" t="inlineStr">
        <is>
          <t>7期重劃</t>
        </is>
      </c>
      <c r="F188" s="5" t="inlineStr">
        <is>
          <t>公辦市地重劃</t>
        </is>
      </c>
      <c r="G188" s="5" t="inlineStr">
        <is>
          <t>由鉅惟上</t>
        </is>
      </c>
      <c r="H188" s="5" t="inlineStr">
        <is>
          <t>由鉅建設</t>
        </is>
      </c>
      <c r="I188" s="5" t="inlineStr">
        <is>
          <t>171戶</t>
        </is>
      </c>
      <c r="J188" s="5" t="inlineStr">
        <is>
          <t>70-122坪</t>
        </is>
      </c>
      <c r="K188" s="5" t="inlineStr"/>
      <c r="L188" s="5" t="inlineStr"/>
      <c r="M188" s="5" t="inlineStr">
        <is>
          <t>預售</t>
        </is>
      </c>
      <c r="N188" s="5" t="inlineStr">
        <is>
          <t>L3</t>
        </is>
      </c>
      <c r="O188" s="5" t="inlineStr">
        <is>
          <t>https://www.housefeel.com.tw/article/%E4%B8%83%E6%9C%9F-%E5%8F%B0%E4%B8%AD%E4%B8%83%E6%9C%9F-%E4%B8%83%E6%9C%9F%E8%B1%AA%E5%AE%85-%E4%B8%83%E6%9C%9F%E6%88%BF%E5%83%B9/</t>
        </is>
      </c>
    </row>
    <row r="189">
      <c r="A189" s="5" t="n">
        <v>188</v>
      </c>
      <c r="B189" s="5" t="inlineStr">
        <is>
          <t>臺中市</t>
        </is>
      </c>
      <c r="C189" s="5" t="inlineStr">
        <is>
          <t>A21004</t>
        </is>
      </c>
      <c r="D189" s="5" t="inlineStr">
        <is>
          <t>taichung</t>
        </is>
      </c>
      <c r="E189" s="5" t="inlineStr">
        <is>
          <t>7期重劃</t>
        </is>
      </c>
      <c r="F189" s="5" t="inlineStr">
        <is>
          <t>公辦市地重劃</t>
        </is>
      </c>
      <c r="G189" s="5" t="inlineStr">
        <is>
          <t>泉宇雲鼎</t>
        </is>
      </c>
      <c r="H189" s="5" t="inlineStr">
        <is>
          <t>泉宇建設</t>
        </is>
      </c>
      <c r="I189" s="5" t="inlineStr">
        <is>
          <t>68戶</t>
        </is>
      </c>
      <c r="J189" s="5" t="inlineStr">
        <is>
          <t>42-66坪</t>
        </is>
      </c>
      <c r="K189" s="5" t="inlineStr"/>
      <c r="L189" s="5" t="inlineStr"/>
      <c r="M189" s="5" t="inlineStr">
        <is>
          <t>預售</t>
        </is>
      </c>
      <c r="N189" s="5" t="inlineStr">
        <is>
          <t>L3</t>
        </is>
      </c>
      <c r="O189" s="5" t="inlineStr">
        <is>
          <t>https://www.housefeel.com.tw/article/%E4%B8%83%E6%9C%9F-%E5%8F%B0%E4%B8%AD%E4%B8%83%E6%9C%9F-%E4%B8%83%E6%9C%9F%E8%B1%AA%E5%AE%85-%E4%B8%83%E6%9C%9F%E6%88%BF%E5%83%B9/</t>
        </is>
      </c>
    </row>
    <row r="190">
      <c r="A190" s="5" t="n">
        <v>189</v>
      </c>
      <c r="B190" s="5" t="inlineStr">
        <is>
          <t>臺中市</t>
        </is>
      </c>
      <c r="C190" s="5" t="inlineStr">
        <is>
          <t>A21004</t>
        </is>
      </c>
      <c r="D190" s="5" t="inlineStr">
        <is>
          <t>taichung</t>
        </is>
      </c>
      <c r="E190" s="5" t="inlineStr">
        <is>
          <t>7期重劃</t>
        </is>
      </c>
      <c r="F190" s="5" t="inlineStr">
        <is>
          <t>公辦市地重劃</t>
        </is>
      </c>
      <c r="G190" s="5" t="inlineStr">
        <is>
          <t>聯聚方瑞大廈</t>
        </is>
      </c>
      <c r="H190" s="5" t="inlineStr">
        <is>
          <t>聯聚</t>
        </is>
      </c>
      <c r="I190" s="5" t="inlineStr">
        <is>
          <t>194戶</t>
        </is>
      </c>
      <c r="J190" s="5" t="inlineStr">
        <is>
          <t>50-100坪</t>
        </is>
      </c>
      <c r="K190" s="5" t="inlineStr"/>
      <c r="L190" s="5" t="inlineStr"/>
      <c r="M190" s="5" t="inlineStr">
        <is>
          <t>預售</t>
        </is>
      </c>
      <c r="N190" s="5" t="inlineStr">
        <is>
          <t>L3</t>
        </is>
      </c>
      <c r="O190" s="5" t="inlineStr">
        <is>
          <t>https://www.housefeel.com.tw/article/%E4%B8%83%E6%9C%9F-%E5%8F%B0%E4%B8%AD%E4%B8%83%E6%9C%9F-%E4%B8%83%E6%9C%9F%E8%B1%AA%E5%AE%85-%E4%B8%83%E6%9C%9F%E6%88%BF%E5%83%B9/</t>
        </is>
      </c>
    </row>
    <row r="191">
      <c r="A191" s="5" t="n">
        <v>190</v>
      </c>
      <c r="B191" s="5" t="inlineStr">
        <is>
          <t>臺中市</t>
        </is>
      </c>
      <c r="C191" s="5" t="inlineStr">
        <is>
          <t>A21004</t>
        </is>
      </c>
      <c r="D191" s="5" t="inlineStr">
        <is>
          <t>taichung</t>
        </is>
      </c>
      <c r="E191" s="5" t="inlineStr">
        <is>
          <t>7期重劃</t>
        </is>
      </c>
      <c r="F191" s="5" t="inlineStr">
        <is>
          <t>公辦市地重劃</t>
        </is>
      </c>
      <c r="G191" s="5" t="inlineStr">
        <is>
          <t>聯聚玉衡大廈</t>
        </is>
      </c>
      <c r="H191" s="5" t="inlineStr">
        <is>
          <t>聯聚</t>
        </is>
      </c>
      <c r="I191" s="5" t="inlineStr">
        <is>
          <t>377戶</t>
        </is>
      </c>
      <c r="J191" s="5" t="inlineStr">
        <is>
          <t>60坪</t>
        </is>
      </c>
      <c r="K191" s="5" t="inlineStr"/>
      <c r="L191" s="5" t="inlineStr"/>
      <c r="M191" s="5" t="inlineStr">
        <is>
          <t>預售</t>
        </is>
      </c>
      <c r="N191" s="5" t="inlineStr">
        <is>
          <t>L3</t>
        </is>
      </c>
      <c r="O191" s="5" t="inlineStr">
        <is>
          <t>https://www.housefeel.com.tw/article/%E4%B8%83%E6%9C%9F-%E5%8F%B0%E4%B8%AD%E4%B8%83%E6%9C%9F-%E4%B8%83%E6%9C%9F%E8%B1%AA%E5%AE%85-%E4%B8%83%E6%9C%9F%E6%88%BF%E5%83%B9/</t>
        </is>
      </c>
    </row>
    <row r="192">
      <c r="A192" s="5" t="n">
        <v>191</v>
      </c>
      <c r="B192" s="5" t="inlineStr">
        <is>
          <t>臺中市</t>
        </is>
      </c>
      <c r="C192" s="5" t="inlineStr">
        <is>
          <t>A21004</t>
        </is>
      </c>
      <c r="D192" s="5" t="inlineStr">
        <is>
          <t>taichung</t>
        </is>
      </c>
      <c r="E192" s="5" t="inlineStr">
        <is>
          <t>7期重劃</t>
        </is>
      </c>
      <c r="F192" s="5" t="inlineStr">
        <is>
          <t>公辦市地重劃</t>
        </is>
      </c>
      <c r="G192" s="5" t="inlineStr">
        <is>
          <t>聯聚理安大廈</t>
        </is>
      </c>
      <c r="H192" s="5" t="inlineStr">
        <is>
          <t>聯聚</t>
        </is>
      </c>
      <c r="I192" s="5" t="inlineStr">
        <is>
          <t>74戶</t>
        </is>
      </c>
      <c r="J192" s="5" t="inlineStr">
        <is>
          <t>110坪</t>
        </is>
      </c>
      <c r="K192" s="5" t="inlineStr"/>
      <c r="L192" s="5" t="inlineStr"/>
      <c r="M192" s="5" t="inlineStr">
        <is>
          <t>預售</t>
        </is>
      </c>
      <c r="N192" s="5" t="inlineStr">
        <is>
          <t>L3</t>
        </is>
      </c>
      <c r="O192" s="5" t="inlineStr">
        <is>
          <t>https://www.housefeel.com.tw/article/%E4%B8%83%E6%9C%9F-%E5%8F%B0%E4%B8%AD%E4%B8%83%E6%9C%9F-%E4%B8%83%E6%9C%9F%E8%B1%AA%E5%AE%85-%E4%B8%83%E6%9C%9F%E6%88%BF%E5%83%B9/</t>
        </is>
      </c>
    </row>
    <row r="193">
      <c r="A193" s="5" t="n">
        <v>192</v>
      </c>
      <c r="B193" s="5" t="inlineStr">
        <is>
          <t>臺中市</t>
        </is>
      </c>
      <c r="C193" s="5" t="inlineStr">
        <is>
          <t>A21004</t>
        </is>
      </c>
      <c r="D193" s="5" t="inlineStr">
        <is>
          <t>taichung</t>
        </is>
      </c>
      <c r="E193" s="5" t="inlineStr">
        <is>
          <t>7期重劃</t>
        </is>
      </c>
      <c r="F193" s="5" t="inlineStr">
        <is>
          <t>公辦市地重劃</t>
        </is>
      </c>
      <c r="G193" s="5" t="inlineStr">
        <is>
          <t>寶璽天讚</t>
        </is>
      </c>
      <c r="H193" s="5" t="inlineStr">
        <is>
          <t>寶璽建設</t>
        </is>
      </c>
      <c r="I193" s="5" t="inlineStr">
        <is>
          <t>112戶</t>
        </is>
      </c>
      <c r="J193" s="5" t="inlineStr">
        <is>
          <t>100-130坪</t>
        </is>
      </c>
      <c r="K193" s="5" t="inlineStr"/>
      <c r="L193" s="5" t="inlineStr">
        <is>
          <t>2025</t>
        </is>
      </c>
      <c r="M193" s="5" t="inlineStr">
        <is>
          <t>預售</t>
        </is>
      </c>
      <c r="N193" s="5" t="inlineStr">
        <is>
          <t>L3</t>
        </is>
      </c>
      <c r="O193" s="5" t="inlineStr">
        <is>
          <t>https://www.housefeel.com.tw/article/%E4%B8%83%E6%9C%9F-%E5%8F%B0%E4%B8%AD%E4%B8%83%E6%9C%9F-%E4%B8%83%E6%9C%9F%E8%B1%AA%E5%AE%85-%E4%B8%83%E6%9C%9F%E6%88%BF%E5%83%B9/</t>
        </is>
      </c>
    </row>
    <row r="194">
      <c r="A194" s="5" t="n">
        <v>193</v>
      </c>
      <c r="B194" s="5" t="inlineStr">
        <is>
          <t>臺中市</t>
        </is>
      </c>
      <c r="C194" s="5" t="inlineStr">
        <is>
          <t>A21004</t>
        </is>
      </c>
      <c r="D194" s="5" t="inlineStr">
        <is>
          <t>taichung</t>
        </is>
      </c>
      <c r="E194" s="5" t="inlineStr">
        <is>
          <t>7期重劃</t>
        </is>
      </c>
      <c r="F194" s="5" t="inlineStr">
        <is>
          <t>公辦市地重劃</t>
        </is>
      </c>
      <c r="G194" s="5" t="inlineStr">
        <is>
          <t>蘿曼蘿蘭</t>
        </is>
      </c>
      <c r="H194" s="5" t="inlineStr"/>
      <c r="I194" s="5" t="inlineStr">
        <is>
          <t>408戶</t>
        </is>
      </c>
      <c r="J194" s="5" t="inlineStr">
        <is>
          <t>23-34坪</t>
        </is>
      </c>
      <c r="K194" s="5" t="inlineStr"/>
      <c r="L194" s="5" t="inlineStr"/>
      <c r="M194" s="5" t="inlineStr">
        <is>
          <t>預售</t>
        </is>
      </c>
      <c r="N194" s="5" t="inlineStr">
        <is>
          <t>L3</t>
        </is>
      </c>
      <c r="O194" s="5" t="inlineStr">
        <is>
          <t>https://www.housefeel.com.tw/article/%E4%B8%83%E6%9C%9F-%E5%8F%B0%E4%B8%AD%E4%B8%83%E6%9C%9F-%E4%B8%83%E6%9C%9F%E8%B1%AA%E5%AE%85-%E4%B8%83%E6%9C%9F%E6%88%BF%E5%83%B9/</t>
        </is>
      </c>
    </row>
    <row r="195">
      <c r="A195" s="5" t="n">
        <v>194</v>
      </c>
      <c r="B195" s="5" t="inlineStr">
        <is>
          <t>臺中市</t>
        </is>
      </c>
      <c r="C195" s="5" t="inlineStr">
        <is>
          <t>A21004</t>
        </is>
      </c>
      <c r="D195" s="5" t="inlineStr">
        <is>
          <t>taichung</t>
        </is>
      </c>
      <c r="E195" s="5" t="inlineStr">
        <is>
          <t>8期重劃</t>
        </is>
      </c>
      <c r="F195" s="5" t="inlineStr">
        <is>
          <t>公辦市地重劃</t>
        </is>
      </c>
      <c r="G195" s="5" t="inlineStr">
        <is>
          <t>聚富粼粼</t>
        </is>
      </c>
      <c r="H195" s="5" t="inlineStr">
        <is>
          <t>聚富建設(富聚開發)</t>
        </is>
      </c>
      <c r="I195" s="5" t="inlineStr"/>
      <c r="J195" s="5" t="inlineStr">
        <is>
          <t>24-37坪</t>
        </is>
      </c>
      <c r="K195" s="5" t="inlineStr"/>
      <c r="L195" s="5" t="inlineStr"/>
      <c r="M195" s="5" t="inlineStr">
        <is>
          <t>預售</t>
        </is>
      </c>
      <c r="N195" s="5" t="inlineStr">
        <is>
          <t>L3</t>
        </is>
      </c>
      <c r="O195" s="5" t="inlineStr">
        <is>
          <t>https://newhouse.591.com.tw/137677</t>
        </is>
      </c>
    </row>
    <row r="196">
      <c r="A196" s="5" t="n">
        <v>195</v>
      </c>
      <c r="B196" s="5" t="inlineStr">
        <is>
          <t>臺中市</t>
        </is>
      </c>
      <c r="C196" s="5" t="inlineStr">
        <is>
          <t>A21004</t>
        </is>
      </c>
      <c r="D196" s="5" t="inlineStr">
        <is>
          <t>taichung</t>
        </is>
      </c>
      <c r="E196" s="5" t="inlineStr">
        <is>
          <t>10期重劃</t>
        </is>
      </c>
      <c r="F196" s="5" t="inlineStr">
        <is>
          <t>公辦市地重劃</t>
        </is>
      </c>
      <c r="G196" s="5" t="inlineStr">
        <is>
          <t>昇祐若禾</t>
        </is>
      </c>
      <c r="H196" s="5" t="inlineStr">
        <is>
          <t>昇祐建設</t>
        </is>
      </c>
      <c r="I196" s="5" t="inlineStr"/>
      <c r="J196" s="5" t="inlineStr">
        <is>
          <t>30-41坪</t>
        </is>
      </c>
      <c r="K196" s="5" t="inlineStr"/>
      <c r="L196" s="5" t="inlineStr"/>
      <c r="M196" s="5" t="inlineStr">
        <is>
          <t>新成屋</t>
        </is>
      </c>
      <c r="N196" s="5" t="inlineStr">
        <is>
          <t>L3</t>
        </is>
      </c>
      <c r="O196" s="5" t="inlineStr">
        <is>
          <t>https://knowhouse.tw/1960</t>
        </is>
      </c>
    </row>
    <row r="197">
      <c r="A197" s="5" t="n">
        <v>196</v>
      </c>
      <c r="B197" s="5" t="inlineStr">
        <is>
          <t>臺中市</t>
        </is>
      </c>
      <c r="C197" s="5" t="inlineStr">
        <is>
          <t>A21004</t>
        </is>
      </c>
      <c r="D197" s="5" t="inlineStr">
        <is>
          <t>taichung</t>
        </is>
      </c>
      <c r="E197" s="5" t="inlineStr">
        <is>
          <t>10期重劃</t>
        </is>
      </c>
      <c r="F197" s="5" t="inlineStr">
        <is>
          <t>公辦市地重劃</t>
        </is>
      </c>
      <c r="G197" s="5" t="inlineStr">
        <is>
          <t>惠宇和樂</t>
        </is>
      </c>
      <c r="H197" s="5" t="inlineStr">
        <is>
          <t>惠宇建設</t>
        </is>
      </c>
      <c r="I197" s="5" t="inlineStr"/>
      <c r="J197" s="5" t="inlineStr"/>
      <c r="K197" s="5" t="inlineStr">
        <is>
          <t>48萬/坪</t>
        </is>
      </c>
      <c r="L197" s="5" t="inlineStr"/>
      <c r="M197" s="5" t="inlineStr">
        <is>
          <t>已完工</t>
        </is>
      </c>
      <c r="N197" s="5" t="inlineStr">
        <is>
          <t>L3</t>
        </is>
      </c>
      <c r="O197" s="5" t="inlineStr">
        <is>
          <t>https://market.591.com.tw/5904515</t>
        </is>
      </c>
    </row>
    <row r="198">
      <c r="A198" s="5" t="n">
        <v>197</v>
      </c>
      <c r="B198" s="5" t="inlineStr">
        <is>
          <t>臺中市</t>
        </is>
      </c>
      <c r="C198" s="5" t="inlineStr">
        <is>
          <t>A21004</t>
        </is>
      </c>
      <c r="D198" s="5" t="inlineStr">
        <is>
          <t>taichung</t>
        </is>
      </c>
      <c r="E198" s="5" t="inlineStr">
        <is>
          <t>10期重劃</t>
        </is>
      </c>
      <c r="F198" s="5" t="inlineStr">
        <is>
          <t>公辦市地重劃</t>
        </is>
      </c>
      <c r="G198" s="5" t="inlineStr">
        <is>
          <t>佳福謙邑</t>
        </is>
      </c>
      <c r="H198" s="5" t="inlineStr">
        <is>
          <t>佳福建設</t>
        </is>
      </c>
      <c r="I198" s="5" t="inlineStr"/>
      <c r="J198" s="5" t="inlineStr">
        <is>
          <t>43-60坪</t>
        </is>
      </c>
      <c r="K198" s="5" t="inlineStr"/>
      <c r="L198" s="5" t="inlineStr"/>
      <c r="M198" s="5" t="inlineStr"/>
      <c r="N198" s="5" t="inlineStr">
        <is>
          <t>L3</t>
        </is>
      </c>
      <c r="O198" s="5" t="inlineStr">
        <is>
          <t>https://taichung.housetube.tw/19547</t>
        </is>
      </c>
    </row>
    <row r="199">
      <c r="A199" s="5" t="n">
        <v>198</v>
      </c>
      <c r="B199" s="5" t="inlineStr">
        <is>
          <t>臺中市</t>
        </is>
      </c>
      <c r="C199" s="5" t="inlineStr">
        <is>
          <t>A21004</t>
        </is>
      </c>
      <c r="D199" s="5" t="inlineStr">
        <is>
          <t>taichung</t>
        </is>
      </c>
      <c r="E199" s="5" t="inlineStr">
        <is>
          <t>10期重劃</t>
        </is>
      </c>
      <c r="F199" s="5" t="inlineStr">
        <is>
          <t>公辦市地重劃</t>
        </is>
      </c>
      <c r="G199" s="5" t="inlineStr">
        <is>
          <t>米羅家園</t>
        </is>
      </c>
      <c r="H199" s="5" t="inlineStr">
        <is>
          <t>米羅生活科技</t>
        </is>
      </c>
      <c r="I199" s="5" t="inlineStr"/>
      <c r="J199" s="5" t="inlineStr">
        <is>
          <t>41.9-55.1坪(地坪)</t>
        </is>
      </c>
      <c r="K199" s="5" t="inlineStr"/>
      <c r="L199" s="5" t="inlineStr"/>
      <c r="M199" s="5" t="inlineStr"/>
      <c r="N199" s="5" t="inlineStr">
        <is>
          <t>L3</t>
        </is>
      </c>
      <c r="O199" s="5" t="inlineStr">
        <is>
          <t>https://taichung.housetube.tw/27174</t>
        </is>
      </c>
    </row>
    <row r="200">
      <c r="A200" s="5" t="n">
        <v>199</v>
      </c>
      <c r="B200" s="5" t="inlineStr">
        <is>
          <t>臺中市</t>
        </is>
      </c>
      <c r="C200" s="5" t="inlineStr">
        <is>
          <t>A21004</t>
        </is>
      </c>
      <c r="D200" s="5" t="inlineStr">
        <is>
          <t>taichung</t>
        </is>
      </c>
      <c r="E200" s="5" t="inlineStr">
        <is>
          <t>11期重劃</t>
        </is>
      </c>
      <c r="F200" s="5" t="inlineStr">
        <is>
          <t>公辦市地重劃</t>
        </is>
      </c>
      <c r="G200" s="5" t="inlineStr">
        <is>
          <t>冠德崇德绽</t>
        </is>
      </c>
      <c r="H200" s="5" t="inlineStr">
        <is>
          <t>冠德建設</t>
        </is>
      </c>
      <c r="I200" s="5" t="inlineStr">
        <is>
          <t>172戶</t>
        </is>
      </c>
      <c r="J200" s="5" t="inlineStr">
        <is>
          <t>39-59坪</t>
        </is>
      </c>
      <c r="K200" s="5" t="inlineStr"/>
      <c r="L200" s="5" t="inlineStr"/>
      <c r="M200" s="5" t="inlineStr">
        <is>
          <t>銷售中</t>
        </is>
      </c>
      <c r="N200" s="5" t="inlineStr">
        <is>
          <t>L3</t>
        </is>
      </c>
      <c r="O200" s="5" t="inlineStr">
        <is>
          <t>https://www.kindom.com.tw/g6/</t>
        </is>
      </c>
    </row>
    <row r="201">
      <c r="A201" s="5" t="n">
        <v>200</v>
      </c>
      <c r="B201" s="5" t="inlineStr">
        <is>
          <t>臺中市</t>
        </is>
      </c>
      <c r="C201" s="5" t="inlineStr">
        <is>
          <t>A21004</t>
        </is>
      </c>
      <c r="D201" s="5" t="inlineStr">
        <is>
          <t>taichung</t>
        </is>
      </c>
      <c r="E201" s="5" t="inlineStr">
        <is>
          <t>11期重劃</t>
        </is>
      </c>
      <c r="F201" s="5" t="inlineStr">
        <is>
          <t>公辦市地重劃</t>
        </is>
      </c>
      <c r="G201" s="5" t="inlineStr">
        <is>
          <t>富宇藏富</t>
        </is>
      </c>
      <c r="H201" s="5" t="inlineStr">
        <is>
          <t>富宇建設</t>
        </is>
      </c>
      <c r="I201" s="5" t="inlineStr"/>
      <c r="J201" s="5" t="inlineStr"/>
      <c r="K201" s="5" t="inlineStr"/>
      <c r="L201" s="5" t="inlineStr"/>
      <c r="M201" s="5" t="inlineStr">
        <is>
          <t>交屋中</t>
        </is>
      </c>
      <c r="N201" s="5" t="inlineStr">
        <is>
          <t>L3</t>
        </is>
      </c>
      <c r="O201" s="5" t="inlineStr">
        <is>
          <t>https://newhouse.591.com.tw/131621</t>
        </is>
      </c>
    </row>
    <row r="202">
      <c r="A202" s="5" t="n">
        <v>201</v>
      </c>
      <c r="B202" s="5" t="inlineStr">
        <is>
          <t>臺中市</t>
        </is>
      </c>
      <c r="C202" s="5" t="inlineStr">
        <is>
          <t>A21004</t>
        </is>
      </c>
      <c r="D202" s="5" t="inlineStr">
        <is>
          <t>taichung</t>
        </is>
      </c>
      <c r="E202" s="5" t="inlineStr">
        <is>
          <t>11期重劃</t>
        </is>
      </c>
      <c r="F202" s="5" t="inlineStr">
        <is>
          <t>公辦市地重劃</t>
        </is>
      </c>
      <c r="G202" s="5" t="inlineStr">
        <is>
          <t>龍寶愛臻邸</t>
        </is>
      </c>
      <c r="H202" s="5" t="inlineStr">
        <is>
          <t>龍寶建設</t>
        </is>
      </c>
      <c r="I202" s="5" t="inlineStr"/>
      <c r="J202" s="5" t="inlineStr"/>
      <c r="K202" s="5" t="inlineStr"/>
      <c r="L202" s="5" t="inlineStr"/>
      <c r="M202" s="5" t="inlineStr"/>
      <c r="N202" s="5" t="inlineStr">
        <is>
          <t>L3</t>
        </is>
      </c>
      <c r="O202" s="5" t="inlineStr">
        <is>
          <t>https://www.lpd.com.tw/project-content.php?ID=113</t>
        </is>
      </c>
    </row>
    <row r="203">
      <c r="A203" s="5" t="n">
        <v>202</v>
      </c>
      <c r="B203" s="5" t="inlineStr">
        <is>
          <t>臺中市</t>
        </is>
      </c>
      <c r="C203" s="5" t="inlineStr">
        <is>
          <t>A21004</t>
        </is>
      </c>
      <c r="D203" s="5" t="inlineStr">
        <is>
          <t>taichung</t>
        </is>
      </c>
      <c r="E203" s="5" t="inlineStr">
        <is>
          <t>11期重劃</t>
        </is>
      </c>
      <c r="F203" s="5" t="inlineStr">
        <is>
          <t>公辦市地重劃</t>
        </is>
      </c>
      <c r="G203" s="5" t="inlineStr">
        <is>
          <t>品藏</t>
        </is>
      </c>
      <c r="H203" s="5" t="inlineStr">
        <is>
          <t>品順建設</t>
        </is>
      </c>
      <c r="I203" s="5" t="inlineStr"/>
      <c r="J203" s="5" t="inlineStr"/>
      <c r="K203" s="5" t="inlineStr"/>
      <c r="L203" s="5" t="inlineStr"/>
      <c r="M203" s="5" t="inlineStr">
        <is>
          <t>預售中</t>
        </is>
      </c>
      <c r="N203" s="5" t="inlineStr">
        <is>
          <t>L3</t>
        </is>
      </c>
      <c r="O203" s="5" t="inlineStr">
        <is>
          <t>https://www.knowhouse.tw/4723</t>
        </is>
      </c>
    </row>
    <row r="204">
      <c r="A204" s="5" t="n">
        <v>203</v>
      </c>
      <c r="B204" s="5" t="inlineStr">
        <is>
          <t>臺中市</t>
        </is>
      </c>
      <c r="C204" s="5" t="inlineStr">
        <is>
          <t>A21004</t>
        </is>
      </c>
      <c r="D204" s="5" t="inlineStr">
        <is>
          <t>taichung</t>
        </is>
      </c>
      <c r="E204" s="5" t="inlineStr">
        <is>
          <t>11期重劃</t>
        </is>
      </c>
      <c r="F204" s="5" t="inlineStr">
        <is>
          <t>公辦市地重劃</t>
        </is>
      </c>
      <c r="G204" s="5" t="inlineStr">
        <is>
          <t>崇德大官邸</t>
        </is>
      </c>
      <c r="H204" s="5" t="inlineStr">
        <is>
          <t>雄立建設</t>
        </is>
      </c>
      <c r="I204" s="5" t="inlineStr"/>
      <c r="J204" s="5" t="inlineStr">
        <is>
          <t>100坪起(建坪)</t>
        </is>
      </c>
      <c r="K204" s="5" t="inlineStr"/>
      <c r="L204" s="5" t="inlineStr"/>
      <c r="M204" s="5" t="inlineStr"/>
      <c r="N204" s="5" t="inlineStr">
        <is>
          <t>L3</t>
        </is>
      </c>
      <c r="O204" s="5" t="inlineStr">
        <is>
          <t>https://taichung.housetube.tw/32444</t>
        </is>
      </c>
    </row>
    <row r="205">
      <c r="A205" s="5" t="n">
        <v>204</v>
      </c>
      <c r="B205" s="5" t="inlineStr">
        <is>
          <t>臺中市</t>
        </is>
      </c>
      <c r="C205" s="5" t="inlineStr">
        <is>
          <t>A21004</t>
        </is>
      </c>
      <c r="D205" s="5" t="inlineStr">
        <is>
          <t>taichung</t>
        </is>
      </c>
      <c r="E205" s="5" t="inlineStr">
        <is>
          <t>11期重劃</t>
        </is>
      </c>
      <c r="F205" s="5" t="inlineStr">
        <is>
          <t>公辦市地重劃</t>
        </is>
      </c>
      <c r="G205" s="5" t="inlineStr">
        <is>
          <t>元城崇德苑</t>
        </is>
      </c>
      <c r="H205" s="5" t="inlineStr">
        <is>
          <t>元城建設</t>
        </is>
      </c>
      <c r="I205" s="5" t="inlineStr">
        <is>
          <t>45戶</t>
        </is>
      </c>
      <c r="J205" s="5" t="inlineStr">
        <is>
          <t>46-49坪</t>
        </is>
      </c>
      <c r="K205" s="5" t="inlineStr">
        <is>
          <t>38萬/坪以上</t>
        </is>
      </c>
      <c r="L205" s="5" t="inlineStr"/>
      <c r="M205" s="5" t="inlineStr">
        <is>
          <t>已完銷</t>
        </is>
      </c>
      <c r="N205" s="5" t="inlineStr">
        <is>
          <t>L3</t>
        </is>
      </c>
      <c r="O205" s="5" t="inlineStr">
        <is>
          <t>https://knowhouse.tw/2605</t>
        </is>
      </c>
    </row>
    <row r="206">
      <c r="A206" s="5" t="n">
        <v>205</v>
      </c>
      <c r="B206" s="5" t="inlineStr">
        <is>
          <t>臺中市</t>
        </is>
      </c>
      <c r="C206" s="5" t="inlineStr">
        <is>
          <t>A21004</t>
        </is>
      </c>
      <c r="D206" s="5" t="inlineStr">
        <is>
          <t>taichung</t>
        </is>
      </c>
      <c r="E206" s="5" t="inlineStr">
        <is>
          <t>11期重劃</t>
        </is>
      </c>
      <c r="F206" s="5" t="inlineStr">
        <is>
          <t>公辦市地重劃</t>
        </is>
      </c>
      <c r="G206" s="5" t="inlineStr">
        <is>
          <t>勝美築</t>
        </is>
      </c>
      <c r="H206" s="5" t="inlineStr">
        <is>
          <t>勝美建設</t>
        </is>
      </c>
      <c r="I206" s="5" t="inlineStr"/>
      <c r="J206" s="5" t="inlineStr"/>
      <c r="K206" s="5" t="inlineStr"/>
      <c r="L206" s="5" t="inlineStr"/>
      <c r="M206" s="5" t="inlineStr">
        <is>
          <t>已完銷</t>
        </is>
      </c>
      <c r="N206" s="5" t="inlineStr">
        <is>
          <t>L3</t>
        </is>
      </c>
      <c r="O206" s="5" t="inlineStr">
        <is>
          <t>https://knowhouse.tw/2782</t>
        </is>
      </c>
    </row>
    <row r="207">
      <c r="A207" s="5" t="n">
        <v>206</v>
      </c>
      <c r="B207" s="5" t="inlineStr">
        <is>
          <t>臺中市</t>
        </is>
      </c>
      <c r="C207" s="5" t="inlineStr">
        <is>
          <t>A21004</t>
        </is>
      </c>
      <c r="D207" s="5" t="inlineStr">
        <is>
          <t>taichung</t>
        </is>
      </c>
      <c r="E207" s="5" t="inlineStr">
        <is>
          <t>12期重劃</t>
        </is>
      </c>
      <c r="F207" s="5" t="inlineStr">
        <is>
          <t>公辦市地重劃</t>
        </is>
      </c>
      <c r="G207" s="5" t="inlineStr">
        <is>
          <t>勝美上安</t>
        </is>
      </c>
      <c r="H207" s="5" t="inlineStr">
        <is>
          <t>勝美建設</t>
        </is>
      </c>
      <c r="I207" s="5" t="inlineStr"/>
      <c r="J207" s="5" t="inlineStr"/>
      <c r="K207" s="5" t="inlineStr">
        <is>
          <t>62.81萬/坪</t>
        </is>
      </c>
      <c r="L207" s="5" t="inlineStr"/>
      <c r="M207" s="5" t="inlineStr">
        <is>
          <t>預售</t>
        </is>
      </c>
      <c r="N207" s="5" t="inlineStr">
        <is>
          <t>L3</t>
        </is>
      </c>
      <c r="O207" s="5" t="inlineStr">
        <is>
          <t>https://www.housefeel.com.tw/article/%E5%8F%B0%E4%B8%AD12%E6%9C%9F-%E5%8B%9D%E7%BE%8E%E5%BB%BA%E8%A8%AD-%E8%A5%BF%E5%B1%AF%E5%8D%80/</t>
        </is>
      </c>
    </row>
    <row r="208">
      <c r="A208" s="5" t="n">
        <v>207</v>
      </c>
      <c r="B208" s="5" t="inlineStr">
        <is>
          <t>臺中市</t>
        </is>
      </c>
      <c r="C208" s="5" t="inlineStr">
        <is>
          <t>A21004</t>
        </is>
      </c>
      <c r="D208" s="5" t="inlineStr">
        <is>
          <t>taichung</t>
        </is>
      </c>
      <c r="E208" s="5" t="inlineStr">
        <is>
          <t>12期重劃</t>
        </is>
      </c>
      <c r="F208" s="5" t="inlineStr">
        <is>
          <t>公辦市地重劃</t>
        </is>
      </c>
      <c r="G208" s="5" t="inlineStr">
        <is>
          <t>達麗晶漾</t>
        </is>
      </c>
      <c r="H208" s="5" t="inlineStr">
        <is>
          <t>達麗建設</t>
        </is>
      </c>
      <c r="I208" s="5" t="inlineStr"/>
      <c r="J208" s="5" t="inlineStr">
        <is>
          <t>25-42坪</t>
        </is>
      </c>
      <c r="K208" s="5" t="inlineStr"/>
      <c r="L208" s="5" t="inlineStr"/>
      <c r="M208" s="5" t="inlineStr"/>
      <c r="N208" s="5" t="inlineStr">
        <is>
          <t>L3</t>
        </is>
      </c>
      <c r="O208" s="5" t="inlineStr">
        <is>
          <t>https://taichung.housetube.tw/21865</t>
        </is>
      </c>
    </row>
    <row r="209">
      <c r="A209" s="5" t="n">
        <v>208</v>
      </c>
      <c r="B209" s="5" t="inlineStr">
        <is>
          <t>臺中市</t>
        </is>
      </c>
      <c r="C209" s="5" t="inlineStr">
        <is>
          <t>A21004</t>
        </is>
      </c>
      <c r="D209" s="5" t="inlineStr">
        <is>
          <t>taichung</t>
        </is>
      </c>
      <c r="E209" s="5" t="inlineStr">
        <is>
          <t>12期重劃</t>
        </is>
      </c>
      <c r="F209" s="5" t="inlineStr">
        <is>
          <t>公辦市地重劃</t>
        </is>
      </c>
      <c r="G209" s="5" t="inlineStr">
        <is>
          <t>龍寶晴臻邸</t>
        </is>
      </c>
      <c r="H209" s="5" t="inlineStr">
        <is>
          <t>龍寶建設</t>
        </is>
      </c>
      <c r="I209" s="5" t="inlineStr">
        <is>
          <t>88戶</t>
        </is>
      </c>
      <c r="J209" s="5" t="inlineStr"/>
      <c r="K209" s="5" t="inlineStr">
        <is>
          <t>56.8萬/坪</t>
        </is>
      </c>
      <c r="L209" s="5" t="inlineStr"/>
      <c r="M209" s="5" t="inlineStr">
        <is>
          <t>已完工</t>
        </is>
      </c>
      <c r="N209" s="5" t="inlineStr">
        <is>
          <t>L3</t>
        </is>
      </c>
      <c r="O209" s="5" t="inlineStr">
        <is>
          <t>https://www.sinyi.com.tw/communitylist/communityinfo/0018384</t>
        </is>
      </c>
    </row>
    <row r="210">
      <c r="A210" s="5" t="n">
        <v>209</v>
      </c>
      <c r="B210" s="5" t="inlineStr">
        <is>
          <t>臺中市</t>
        </is>
      </c>
      <c r="C210" s="5" t="inlineStr">
        <is>
          <t>A21004</t>
        </is>
      </c>
      <c r="D210" s="5" t="inlineStr">
        <is>
          <t>taichung</t>
        </is>
      </c>
      <c r="E210" s="5" t="inlineStr">
        <is>
          <t>12期重劃</t>
        </is>
      </c>
      <c r="F210" s="5" t="inlineStr">
        <is>
          <t>公辦市地重劃</t>
        </is>
      </c>
      <c r="G210" s="5" t="inlineStr">
        <is>
          <t>時代麗景大廈</t>
        </is>
      </c>
      <c r="H210" s="5" t="inlineStr">
        <is>
          <t>時代建設</t>
        </is>
      </c>
      <c r="I210" s="5" t="inlineStr"/>
      <c r="J210" s="5" t="inlineStr"/>
      <c r="K210" s="5" t="inlineStr"/>
      <c r="L210" s="5" t="inlineStr"/>
      <c r="M210" s="5" t="inlineStr"/>
      <c r="N210" s="5" t="inlineStr">
        <is>
          <t>L3</t>
        </is>
      </c>
      <c r="O210" s="5" t="inlineStr">
        <is>
          <t>https://knowhouse.tw/470</t>
        </is>
      </c>
    </row>
    <row r="211">
      <c r="A211" s="5" t="n">
        <v>210</v>
      </c>
      <c r="B211" s="5" t="inlineStr">
        <is>
          <t>臺中市</t>
        </is>
      </c>
      <c r="C211" s="5" t="inlineStr">
        <is>
          <t>A21004</t>
        </is>
      </c>
      <c r="D211" s="5" t="inlineStr">
        <is>
          <t>taichung</t>
        </is>
      </c>
      <c r="E211" s="5" t="inlineStr">
        <is>
          <t>12期重劃</t>
        </is>
      </c>
      <c r="F211" s="5" t="inlineStr">
        <is>
          <t>公辦市地重劃</t>
        </is>
      </c>
      <c r="G211" s="5" t="inlineStr">
        <is>
          <t>文華漾</t>
        </is>
      </c>
      <c r="H211" s="5" t="inlineStr">
        <is>
          <t>豐禾建設</t>
        </is>
      </c>
      <c r="I211" s="5" t="inlineStr"/>
      <c r="J211" s="5" t="inlineStr"/>
      <c r="K211" s="5" t="inlineStr"/>
      <c r="L211" s="5" t="inlineStr"/>
      <c r="M211" s="5" t="inlineStr"/>
      <c r="N211" s="5" t="inlineStr">
        <is>
          <t>L3</t>
        </is>
      </c>
      <c r="O211" s="5" t="inlineStr">
        <is>
          <t>https://knowhouse.tw/4914</t>
        </is>
      </c>
    </row>
    <row r="212">
      <c r="A212" s="5" t="n">
        <v>211</v>
      </c>
      <c r="B212" s="5" t="inlineStr">
        <is>
          <t>臺中市</t>
        </is>
      </c>
      <c r="C212" s="5" t="inlineStr">
        <is>
          <t>A21004</t>
        </is>
      </c>
      <c r="D212" s="5" t="inlineStr">
        <is>
          <t>taichung</t>
        </is>
      </c>
      <c r="E212" s="5" t="inlineStr">
        <is>
          <t>13期重劃</t>
        </is>
      </c>
      <c r="F212" s="5" t="inlineStr">
        <is>
          <t>公辦市地重劃</t>
        </is>
      </c>
      <c r="G212" s="5" t="inlineStr">
        <is>
          <t>元境大喜</t>
        </is>
      </c>
      <c r="H212" s="5" t="inlineStr"/>
      <c r="I212" s="5" t="inlineStr">
        <is>
          <t>46戶</t>
        </is>
      </c>
      <c r="J212" s="5" t="inlineStr">
        <is>
          <t>27坪</t>
        </is>
      </c>
      <c r="K212" s="5" t="inlineStr">
        <is>
          <t>開價65萬/坪</t>
        </is>
      </c>
      <c r="L212" s="5" t="inlineStr"/>
      <c r="M212" s="5" t="inlineStr">
        <is>
          <t>預售</t>
        </is>
      </c>
      <c r="N212" s="5" t="inlineStr">
        <is>
          <t>L3</t>
        </is>
      </c>
      <c r="O212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13">
      <c r="A213" s="5" t="n">
        <v>212</v>
      </c>
      <c r="B213" s="5" t="inlineStr">
        <is>
          <t>臺中市</t>
        </is>
      </c>
      <c r="C213" s="5" t="inlineStr">
        <is>
          <t>A21004</t>
        </is>
      </c>
      <c r="D213" s="5" t="inlineStr">
        <is>
          <t>taichung</t>
        </is>
      </c>
      <c r="E213" s="5" t="inlineStr">
        <is>
          <t>13期重劃</t>
        </is>
      </c>
      <c r="F213" s="5" t="inlineStr">
        <is>
          <t>公辦市地重劃</t>
        </is>
      </c>
      <c r="G213" s="5" t="inlineStr">
        <is>
          <t>惠宇拾山</t>
        </is>
      </c>
      <c r="H213" s="5" t="inlineStr">
        <is>
          <t>惠宇建設</t>
        </is>
      </c>
      <c r="I213" s="5" t="inlineStr">
        <is>
          <t>95戶</t>
        </is>
      </c>
      <c r="J213" s="5" t="inlineStr">
        <is>
          <t>30-50坪</t>
        </is>
      </c>
      <c r="K213" s="5" t="inlineStr"/>
      <c r="L213" s="5" t="inlineStr"/>
      <c r="M213" s="5" t="inlineStr">
        <is>
          <t>預售</t>
        </is>
      </c>
      <c r="N213" s="5" t="inlineStr">
        <is>
          <t>L3</t>
        </is>
      </c>
      <c r="O213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14">
      <c r="A214" s="5" t="n">
        <v>213</v>
      </c>
      <c r="B214" s="5" t="inlineStr">
        <is>
          <t>臺中市</t>
        </is>
      </c>
      <c r="C214" s="5" t="inlineStr">
        <is>
          <t>A21004</t>
        </is>
      </c>
      <c r="D214" s="5" t="inlineStr">
        <is>
          <t>taichung</t>
        </is>
      </c>
      <c r="E214" s="5" t="inlineStr">
        <is>
          <t>13期重劃</t>
        </is>
      </c>
      <c r="F214" s="5" t="inlineStr">
        <is>
          <t>公辦市地重劃</t>
        </is>
      </c>
      <c r="G214" s="5" t="inlineStr">
        <is>
          <t>惠宇大然</t>
        </is>
      </c>
      <c r="H214" s="5" t="inlineStr">
        <is>
          <t>惠宇建設</t>
        </is>
      </c>
      <c r="I214" s="5" t="inlineStr">
        <is>
          <t>132戶</t>
        </is>
      </c>
      <c r="J214" s="5" t="inlineStr">
        <is>
          <t>38-52坪</t>
        </is>
      </c>
      <c r="K214" s="5" t="inlineStr">
        <is>
          <t>69.37萬/坪</t>
        </is>
      </c>
      <c r="L214" s="5" t="inlineStr"/>
      <c r="M214" s="5" t="inlineStr">
        <is>
          <t>預售</t>
        </is>
      </c>
      <c r="N214" s="5" t="inlineStr">
        <is>
          <t>L3</t>
        </is>
      </c>
      <c r="O214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15">
      <c r="A215" s="5" t="n">
        <v>214</v>
      </c>
      <c r="B215" s="5" t="inlineStr">
        <is>
          <t>臺中市</t>
        </is>
      </c>
      <c r="C215" s="5" t="inlineStr">
        <is>
          <t>A21004</t>
        </is>
      </c>
      <c r="D215" s="5" t="inlineStr">
        <is>
          <t>taichung</t>
        </is>
      </c>
      <c r="E215" s="5" t="inlineStr">
        <is>
          <t>13期重劃</t>
        </is>
      </c>
      <c r="F215" s="5" t="inlineStr">
        <is>
          <t>公辦市地重劃</t>
        </is>
      </c>
      <c r="G215" s="5" t="inlineStr">
        <is>
          <t>國聚之尚</t>
        </is>
      </c>
      <c r="H215" s="5" t="inlineStr">
        <is>
          <t>國聚建設</t>
        </is>
      </c>
      <c r="I215" s="5" t="inlineStr">
        <is>
          <t>242戶</t>
        </is>
      </c>
      <c r="J215" s="5" t="inlineStr">
        <is>
          <t>37-46坪</t>
        </is>
      </c>
      <c r="K215" s="5" t="inlineStr">
        <is>
          <t>63.69萬/坪</t>
        </is>
      </c>
      <c r="L215" s="5" t="inlineStr"/>
      <c r="M215" s="5" t="inlineStr">
        <is>
          <t>預售</t>
        </is>
      </c>
      <c r="N215" s="5" t="inlineStr">
        <is>
          <t>L3</t>
        </is>
      </c>
      <c r="O215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16">
      <c r="A216" s="5" t="n">
        <v>215</v>
      </c>
      <c r="B216" s="5" t="inlineStr">
        <is>
          <t>臺中市</t>
        </is>
      </c>
      <c r="C216" s="5" t="inlineStr">
        <is>
          <t>A21004</t>
        </is>
      </c>
      <c r="D216" s="5" t="inlineStr">
        <is>
          <t>taichung</t>
        </is>
      </c>
      <c r="E216" s="5" t="inlineStr">
        <is>
          <t>13期重劃</t>
        </is>
      </c>
      <c r="F216" s="5" t="inlineStr">
        <is>
          <t>公辦市地重劃</t>
        </is>
      </c>
      <c r="G216" s="5" t="inlineStr">
        <is>
          <t>恆山千隅</t>
        </is>
      </c>
      <c r="H216" s="5" t="inlineStr"/>
      <c r="I216" s="5" t="inlineStr">
        <is>
          <t>27戶</t>
        </is>
      </c>
      <c r="J216" s="5" t="inlineStr">
        <is>
          <t>27-33坪</t>
        </is>
      </c>
      <c r="K216" s="5" t="inlineStr">
        <is>
          <t>66.83萬/坪</t>
        </is>
      </c>
      <c r="L216" s="5" t="inlineStr"/>
      <c r="M216" s="5" t="inlineStr">
        <is>
          <t>預售</t>
        </is>
      </c>
      <c r="N216" s="5" t="inlineStr">
        <is>
          <t>L3</t>
        </is>
      </c>
      <c r="O216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17">
      <c r="A217" s="5" t="n">
        <v>216</v>
      </c>
      <c r="B217" s="5" t="inlineStr">
        <is>
          <t>臺中市</t>
        </is>
      </c>
      <c r="C217" s="5" t="inlineStr">
        <is>
          <t>A21004</t>
        </is>
      </c>
      <c r="D217" s="5" t="inlineStr">
        <is>
          <t>taichung</t>
        </is>
      </c>
      <c r="E217" s="5" t="inlineStr">
        <is>
          <t>13期重劃</t>
        </is>
      </c>
      <c r="F217" s="5" t="inlineStr">
        <is>
          <t>公辦市地重劃</t>
        </is>
      </c>
      <c r="G217" s="5" t="inlineStr">
        <is>
          <t>浩瀚光與玥</t>
        </is>
      </c>
      <c r="H217" s="5" t="inlineStr">
        <is>
          <t>浩瀚開發</t>
        </is>
      </c>
      <c r="I217" s="5" t="inlineStr">
        <is>
          <t>236戶</t>
        </is>
      </c>
      <c r="J217" s="5" t="inlineStr">
        <is>
          <t>27-30坪</t>
        </is>
      </c>
      <c r="K217" s="5" t="inlineStr">
        <is>
          <t>開價75萬/坪</t>
        </is>
      </c>
      <c r="L217" s="5" t="inlineStr"/>
      <c r="M217" s="5" t="inlineStr">
        <is>
          <t>預售</t>
        </is>
      </c>
      <c r="N217" s="5" t="inlineStr">
        <is>
          <t>L3</t>
        </is>
      </c>
      <c r="O217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18">
      <c r="A218" s="5" t="n">
        <v>217</v>
      </c>
      <c r="B218" s="5" t="inlineStr">
        <is>
          <t>臺中市</t>
        </is>
      </c>
      <c r="C218" s="5" t="inlineStr">
        <is>
          <t>A21004</t>
        </is>
      </c>
      <c r="D218" s="5" t="inlineStr">
        <is>
          <t>taichung</t>
        </is>
      </c>
      <c r="E218" s="5" t="inlineStr">
        <is>
          <t>13期重劃</t>
        </is>
      </c>
      <c r="F218" s="5" t="inlineStr">
        <is>
          <t>公辦市地重劃</t>
        </is>
      </c>
      <c r="G218" s="5" t="inlineStr">
        <is>
          <t>惠宇大沁</t>
        </is>
      </c>
      <c r="H218" s="5" t="inlineStr">
        <is>
          <t>惠宇建設</t>
        </is>
      </c>
      <c r="I218" s="5" t="inlineStr">
        <is>
          <t>84戶</t>
        </is>
      </c>
      <c r="J218" s="5" t="inlineStr">
        <is>
          <t>25-42坪</t>
        </is>
      </c>
      <c r="K218" s="5" t="inlineStr">
        <is>
          <t>68.35萬/坪</t>
        </is>
      </c>
      <c r="L218" s="5" t="inlineStr"/>
      <c r="M218" s="5" t="inlineStr"/>
      <c r="N218" s="5" t="inlineStr">
        <is>
          <t>L3</t>
        </is>
      </c>
      <c r="O218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19">
      <c r="A219" s="5" t="n">
        <v>218</v>
      </c>
      <c r="B219" s="5" t="inlineStr">
        <is>
          <t>臺中市</t>
        </is>
      </c>
      <c r="C219" s="5" t="inlineStr">
        <is>
          <t>A21004</t>
        </is>
      </c>
      <c r="D219" s="5" t="inlineStr">
        <is>
          <t>taichung</t>
        </is>
      </c>
      <c r="E219" s="5" t="inlineStr">
        <is>
          <t>13期重劃</t>
        </is>
      </c>
      <c r="F219" s="5" t="inlineStr">
        <is>
          <t>公辦市地重劃</t>
        </is>
      </c>
      <c r="G219" s="5" t="inlineStr">
        <is>
          <t>登陽明日昇</t>
        </is>
      </c>
      <c r="H219" s="5" t="inlineStr">
        <is>
          <t>登陽建設</t>
        </is>
      </c>
      <c r="I219" s="5" t="inlineStr">
        <is>
          <t>72戶</t>
        </is>
      </c>
      <c r="J219" s="5" t="inlineStr">
        <is>
          <t>29-36坪</t>
        </is>
      </c>
      <c r="K219" s="5" t="inlineStr"/>
      <c r="L219" s="5" t="inlineStr"/>
      <c r="M219" s="5" t="inlineStr">
        <is>
          <t>預售</t>
        </is>
      </c>
      <c r="N219" s="5" t="inlineStr">
        <is>
          <t>L3</t>
        </is>
      </c>
      <c r="O219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20">
      <c r="A220" s="5" t="n">
        <v>219</v>
      </c>
      <c r="B220" s="5" t="inlineStr">
        <is>
          <t>臺中市</t>
        </is>
      </c>
      <c r="C220" s="5" t="inlineStr">
        <is>
          <t>A21004</t>
        </is>
      </c>
      <c r="D220" s="5" t="inlineStr">
        <is>
          <t>taichung</t>
        </is>
      </c>
      <c r="E220" s="5" t="inlineStr">
        <is>
          <t>13期重劃</t>
        </is>
      </c>
      <c r="F220" s="5" t="inlineStr">
        <is>
          <t>公辦市地重劃</t>
        </is>
      </c>
      <c r="G220" s="5" t="inlineStr">
        <is>
          <t>中陽旭月</t>
        </is>
      </c>
      <c r="H220" s="5" t="inlineStr">
        <is>
          <t>中陽建設</t>
        </is>
      </c>
      <c r="I220" s="5" t="inlineStr">
        <is>
          <t>52戶</t>
        </is>
      </c>
      <c r="J220" s="5" t="inlineStr">
        <is>
          <t>48-60坪</t>
        </is>
      </c>
      <c r="K220" s="5" t="inlineStr"/>
      <c r="L220" s="5" t="inlineStr"/>
      <c r="M220" s="5" t="inlineStr">
        <is>
          <t>預售</t>
        </is>
      </c>
      <c r="N220" s="5" t="inlineStr">
        <is>
          <t>L3</t>
        </is>
      </c>
      <c r="O220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21">
      <c r="A221" s="5" t="n">
        <v>220</v>
      </c>
      <c r="B221" s="5" t="inlineStr">
        <is>
          <t>臺中市</t>
        </is>
      </c>
      <c r="C221" s="5" t="inlineStr">
        <is>
          <t>A21004</t>
        </is>
      </c>
      <c r="D221" s="5" t="inlineStr">
        <is>
          <t>taichung</t>
        </is>
      </c>
      <c r="E221" s="5" t="inlineStr">
        <is>
          <t>13期重劃</t>
        </is>
      </c>
      <c r="F221" s="5" t="inlineStr">
        <is>
          <t>公辦市地重劃</t>
        </is>
      </c>
      <c r="G221" s="5" t="inlineStr">
        <is>
          <t>勝旺悅</t>
        </is>
      </c>
      <c r="H221" s="5" t="inlineStr"/>
      <c r="I221" s="5" t="inlineStr">
        <is>
          <t>72戶</t>
        </is>
      </c>
      <c r="J221" s="5" t="inlineStr">
        <is>
          <t>25-37坪</t>
        </is>
      </c>
      <c r="K221" s="5" t="inlineStr">
        <is>
          <t>58.43萬/坪</t>
        </is>
      </c>
      <c r="L221" s="5" t="inlineStr"/>
      <c r="M221" s="5" t="inlineStr">
        <is>
          <t>預售</t>
        </is>
      </c>
      <c r="N221" s="5" t="inlineStr">
        <is>
          <t>L3</t>
        </is>
      </c>
      <c r="O221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22">
      <c r="A222" s="5" t="n">
        <v>221</v>
      </c>
      <c r="B222" s="5" t="inlineStr">
        <is>
          <t>臺中市</t>
        </is>
      </c>
      <c r="C222" s="5" t="inlineStr">
        <is>
          <t>A21004</t>
        </is>
      </c>
      <c r="D222" s="5" t="inlineStr">
        <is>
          <t>taichung</t>
        </is>
      </c>
      <c r="E222" s="5" t="inlineStr">
        <is>
          <t>13期重劃</t>
        </is>
      </c>
      <c r="F222" s="5" t="inlineStr">
        <is>
          <t>公辦市地重劃</t>
        </is>
      </c>
      <c r="G222" s="5" t="inlineStr">
        <is>
          <t>臻和康璞玥</t>
        </is>
      </c>
      <c r="H222" s="5" t="inlineStr"/>
      <c r="I222" s="5" t="inlineStr">
        <is>
          <t>22戶</t>
        </is>
      </c>
      <c r="J222" s="5" t="inlineStr">
        <is>
          <t>27-32坪</t>
        </is>
      </c>
      <c r="K222" s="5" t="inlineStr"/>
      <c r="L222" s="5" t="inlineStr"/>
      <c r="M222" s="5" t="inlineStr">
        <is>
          <t>預售</t>
        </is>
      </c>
      <c r="N222" s="5" t="inlineStr">
        <is>
          <t>L3</t>
        </is>
      </c>
      <c r="O222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23">
      <c r="A223" s="5" t="n">
        <v>222</v>
      </c>
      <c r="B223" s="5" t="inlineStr">
        <is>
          <t>臺中市</t>
        </is>
      </c>
      <c r="C223" s="5" t="inlineStr">
        <is>
          <t>A21004</t>
        </is>
      </c>
      <c r="D223" s="5" t="inlineStr">
        <is>
          <t>taichung</t>
        </is>
      </c>
      <c r="E223" s="5" t="inlineStr">
        <is>
          <t>13期重劃</t>
        </is>
      </c>
      <c r="F223" s="5" t="inlineStr">
        <is>
          <t>公辦市地重劃</t>
        </is>
      </c>
      <c r="G223" s="5" t="inlineStr">
        <is>
          <t>睦昇韶光漫</t>
        </is>
      </c>
      <c r="H223" s="5" t="inlineStr"/>
      <c r="I223" s="5" t="inlineStr">
        <is>
          <t>50戶</t>
        </is>
      </c>
      <c r="J223" s="5" t="inlineStr">
        <is>
          <t>22-25坪</t>
        </is>
      </c>
      <c r="K223" s="5" t="inlineStr">
        <is>
          <t>70.84萬/坪</t>
        </is>
      </c>
      <c r="L223" s="5" t="inlineStr"/>
      <c r="M223" s="5" t="inlineStr">
        <is>
          <t>預售</t>
        </is>
      </c>
      <c r="N223" s="5" t="inlineStr">
        <is>
          <t>L3</t>
        </is>
      </c>
      <c r="O223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24">
      <c r="A224" s="5" t="n">
        <v>223</v>
      </c>
      <c r="B224" s="5" t="inlineStr">
        <is>
          <t>臺中市</t>
        </is>
      </c>
      <c r="C224" s="5" t="inlineStr">
        <is>
          <t>A21004</t>
        </is>
      </c>
      <c r="D224" s="5" t="inlineStr">
        <is>
          <t>taichung</t>
        </is>
      </c>
      <c r="E224" s="5" t="inlineStr">
        <is>
          <t>13期重劃</t>
        </is>
      </c>
      <c r="F224" s="5" t="inlineStr">
        <is>
          <t>公辦市地重劃</t>
        </is>
      </c>
      <c r="G224" s="5" t="inlineStr">
        <is>
          <t>鉅虹蒔荃</t>
        </is>
      </c>
      <c r="H224" s="5" t="inlineStr">
        <is>
          <t>鉅虹建設</t>
        </is>
      </c>
      <c r="I224" s="5" t="inlineStr">
        <is>
          <t>52戶</t>
        </is>
      </c>
      <c r="J224" s="5" t="inlineStr">
        <is>
          <t>23-28坪</t>
        </is>
      </c>
      <c r="K224" s="5" t="inlineStr">
        <is>
          <t>69.87萬/坪</t>
        </is>
      </c>
      <c r="L224" s="5" t="inlineStr"/>
      <c r="M224" s="5" t="inlineStr">
        <is>
          <t>預售</t>
        </is>
      </c>
      <c r="N224" s="5" t="inlineStr">
        <is>
          <t>L3</t>
        </is>
      </c>
      <c r="O224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25">
      <c r="A225" s="5" t="n">
        <v>224</v>
      </c>
      <c r="B225" s="5" t="inlineStr">
        <is>
          <t>臺中市</t>
        </is>
      </c>
      <c r="C225" s="5" t="inlineStr">
        <is>
          <t>A21004</t>
        </is>
      </c>
      <c r="D225" s="5" t="inlineStr">
        <is>
          <t>taichung</t>
        </is>
      </c>
      <c r="E225" s="5" t="inlineStr">
        <is>
          <t>13期重劃</t>
        </is>
      </c>
      <c r="F225" s="5" t="inlineStr">
        <is>
          <t>公辦市地重劃</t>
        </is>
      </c>
      <c r="G225" s="5" t="inlineStr">
        <is>
          <t>鉅虹蒔美</t>
        </is>
      </c>
      <c r="H225" s="5" t="inlineStr">
        <is>
          <t>鉅虹建設</t>
        </is>
      </c>
      <c r="I225" s="5" t="inlineStr">
        <is>
          <t>287戶</t>
        </is>
      </c>
      <c r="J225" s="5" t="inlineStr">
        <is>
          <t>38-41坪</t>
        </is>
      </c>
      <c r="K225" s="5" t="inlineStr">
        <is>
          <t>66.67萬/坪</t>
        </is>
      </c>
      <c r="L225" s="5" t="inlineStr"/>
      <c r="M225" s="5" t="inlineStr">
        <is>
          <t>預售</t>
        </is>
      </c>
      <c r="N225" s="5" t="inlineStr">
        <is>
          <t>L3</t>
        </is>
      </c>
      <c r="O225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26">
      <c r="A226" s="5" t="n">
        <v>225</v>
      </c>
      <c r="B226" s="5" t="inlineStr">
        <is>
          <t>臺中市</t>
        </is>
      </c>
      <c r="C226" s="5" t="inlineStr">
        <is>
          <t>A21004</t>
        </is>
      </c>
      <c r="D226" s="5" t="inlineStr">
        <is>
          <t>taichung</t>
        </is>
      </c>
      <c r="E226" s="5" t="inlineStr">
        <is>
          <t>13期重劃</t>
        </is>
      </c>
      <c r="F226" s="5" t="inlineStr">
        <is>
          <t>公辦市地重劃</t>
        </is>
      </c>
      <c r="G226" s="5" t="inlineStr">
        <is>
          <t>育堂十三苑</t>
        </is>
      </c>
      <c r="H226" s="5" t="inlineStr">
        <is>
          <t>育堂建設</t>
        </is>
      </c>
      <c r="I226" s="5" t="inlineStr">
        <is>
          <t>64戶</t>
        </is>
      </c>
      <c r="J226" s="5" t="inlineStr">
        <is>
          <t>41-44坪</t>
        </is>
      </c>
      <c r="K226" s="5" t="inlineStr">
        <is>
          <t>66.22萬/坪</t>
        </is>
      </c>
      <c r="L226" s="5" t="inlineStr"/>
      <c r="M226" s="5" t="inlineStr">
        <is>
          <t>預售</t>
        </is>
      </c>
      <c r="N226" s="5" t="inlineStr">
        <is>
          <t>L3</t>
        </is>
      </c>
      <c r="O226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27">
      <c r="A227" s="5" t="n">
        <v>226</v>
      </c>
      <c r="B227" s="5" t="inlineStr">
        <is>
          <t>臺中市</t>
        </is>
      </c>
      <c r="C227" s="5" t="inlineStr">
        <is>
          <t>A21004</t>
        </is>
      </c>
      <c r="D227" s="5" t="inlineStr">
        <is>
          <t>taichung</t>
        </is>
      </c>
      <c r="E227" s="5" t="inlineStr">
        <is>
          <t>13期重劃</t>
        </is>
      </c>
      <c r="F227" s="5" t="inlineStr">
        <is>
          <t>公辦市地重劃</t>
        </is>
      </c>
      <c r="G227" s="5" t="inlineStr">
        <is>
          <t>沅宬玉見築</t>
        </is>
      </c>
      <c r="H227" s="5" t="inlineStr">
        <is>
          <t>沅宬建設</t>
        </is>
      </c>
      <c r="I227" s="5" t="inlineStr">
        <is>
          <t>58戶</t>
        </is>
      </c>
      <c r="J227" s="5" t="inlineStr">
        <is>
          <t>25-30坪</t>
        </is>
      </c>
      <c r="K227" s="5" t="inlineStr"/>
      <c r="L227" s="5" t="inlineStr"/>
      <c r="M227" s="5" t="inlineStr">
        <is>
          <t>預售</t>
        </is>
      </c>
      <c r="N227" s="5" t="inlineStr">
        <is>
          <t>L3</t>
        </is>
      </c>
      <c r="O227" s="5" t="inlineStr">
        <is>
          <t>https://www.housefeel.com.tw/article/%E5%8F%B0%E4%B8%AD13%E6%9C%9F-%E5%8F%B0%E4%B8%AD13%E6%9C%9F%E9%87%8D%E5%8A%83%E5%8D%80-%E5%8D%81%E4%B8%89%E6%9C%9F%E9%87%8D%E5%8A%83%E5%8D%80/；https://house.chinatimes.com/20260812003100-264401</t>
        </is>
      </c>
    </row>
    <row r="228">
      <c r="A228" s="5" t="n">
        <v>227</v>
      </c>
      <c r="B228" s="5" t="inlineStr">
        <is>
          <t>臺中市</t>
        </is>
      </c>
      <c r="C228" s="5" t="inlineStr">
        <is>
          <t>A21004</t>
        </is>
      </c>
      <c r="D228" s="5" t="inlineStr">
        <is>
          <t>taichung</t>
        </is>
      </c>
      <c r="E228" s="5" t="inlineStr">
        <is>
          <t>13期重劃</t>
        </is>
      </c>
      <c r="F228" s="5" t="inlineStr">
        <is>
          <t>公辦市地重劃</t>
        </is>
      </c>
      <c r="G228" s="5" t="inlineStr">
        <is>
          <t>國泰蒔萃</t>
        </is>
      </c>
      <c r="H228" s="5" t="inlineStr">
        <is>
          <t>國泰建設</t>
        </is>
      </c>
      <c r="I228" s="5" t="inlineStr">
        <is>
          <t>120戶</t>
        </is>
      </c>
      <c r="J228" s="5" t="inlineStr">
        <is>
          <t>37-46坪</t>
        </is>
      </c>
      <c r="K228" s="5" t="inlineStr">
        <is>
          <t>71.98萬/坪</t>
        </is>
      </c>
      <c r="L228" s="5" t="inlineStr"/>
      <c r="M228" s="5" t="inlineStr">
        <is>
          <t>預售</t>
        </is>
      </c>
      <c r="N228" s="5" t="inlineStr">
        <is>
          <t>L3</t>
        </is>
      </c>
      <c r="O228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29">
      <c r="A229" s="5" t="n">
        <v>228</v>
      </c>
      <c r="B229" s="5" t="inlineStr">
        <is>
          <t>臺中市</t>
        </is>
      </c>
      <c r="C229" s="5" t="inlineStr">
        <is>
          <t>A21004</t>
        </is>
      </c>
      <c r="D229" s="5" t="inlineStr">
        <is>
          <t>taichung</t>
        </is>
      </c>
      <c r="E229" s="5" t="inlineStr">
        <is>
          <t>13期重劃</t>
        </is>
      </c>
      <c r="F229" s="5" t="inlineStr">
        <is>
          <t>公辦市地重劃</t>
        </is>
      </c>
      <c r="G229" s="5" t="inlineStr">
        <is>
          <t>順天MR.L</t>
        </is>
      </c>
      <c r="H229" s="5" t="inlineStr">
        <is>
          <t>順天建設</t>
        </is>
      </c>
      <c r="I229" s="5" t="inlineStr">
        <is>
          <t>92戶</t>
        </is>
      </c>
      <c r="J229" s="5" t="inlineStr">
        <is>
          <t>45-46坪</t>
        </is>
      </c>
      <c r="K229" s="5" t="inlineStr">
        <is>
          <t>79.81萬/坪</t>
        </is>
      </c>
      <c r="L229" s="5" t="inlineStr"/>
      <c r="M229" s="5" t="inlineStr">
        <is>
          <t>預售</t>
        </is>
      </c>
      <c r="N229" s="5" t="inlineStr">
        <is>
          <t>L3</t>
        </is>
      </c>
      <c r="O229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30">
      <c r="A230" s="5" t="n">
        <v>229</v>
      </c>
      <c r="B230" s="5" t="inlineStr">
        <is>
          <t>臺中市</t>
        </is>
      </c>
      <c r="C230" s="5" t="inlineStr">
        <is>
          <t>A21004</t>
        </is>
      </c>
      <c r="D230" s="5" t="inlineStr">
        <is>
          <t>taichung</t>
        </is>
      </c>
      <c r="E230" s="5" t="inlineStr">
        <is>
          <t>13期重劃</t>
        </is>
      </c>
      <c r="F230" s="5" t="inlineStr">
        <is>
          <t>公辦市地重劃</t>
        </is>
      </c>
      <c r="G230" s="5" t="inlineStr">
        <is>
          <t>惠宇GOLDEN</t>
        </is>
      </c>
      <c r="H230" s="5" t="inlineStr">
        <is>
          <t>惠宇建設</t>
        </is>
      </c>
      <c r="I230" s="5" t="inlineStr">
        <is>
          <t>84戶</t>
        </is>
      </c>
      <c r="J230" s="5" t="inlineStr">
        <is>
          <t>30-48坪</t>
        </is>
      </c>
      <c r="K230" s="5" t="inlineStr"/>
      <c r="L230" s="5" t="inlineStr"/>
      <c r="M230" s="5" t="inlineStr">
        <is>
          <t>預售</t>
        </is>
      </c>
      <c r="N230" s="5" t="inlineStr">
        <is>
          <t>L3</t>
        </is>
      </c>
      <c r="O230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31">
      <c r="A231" s="5" t="n">
        <v>230</v>
      </c>
      <c r="B231" s="5" t="inlineStr">
        <is>
          <t>臺中市</t>
        </is>
      </c>
      <c r="C231" s="5" t="inlineStr">
        <is>
          <t>A21004</t>
        </is>
      </c>
      <c r="D231" s="5" t="inlineStr">
        <is>
          <t>taichung</t>
        </is>
      </c>
      <c r="E231" s="5" t="inlineStr">
        <is>
          <t>13期重劃</t>
        </is>
      </c>
      <c r="F231" s="5" t="inlineStr">
        <is>
          <t>公辦市地重劃</t>
        </is>
      </c>
      <c r="G231" s="5" t="inlineStr">
        <is>
          <t>圓堡墪青</t>
        </is>
      </c>
      <c r="H231" s="5" t="inlineStr"/>
      <c r="I231" s="5" t="inlineStr">
        <is>
          <t>25戶</t>
        </is>
      </c>
      <c r="J231" s="5" t="inlineStr">
        <is>
          <t>25-31坪</t>
        </is>
      </c>
      <c r="K231" s="5" t="inlineStr">
        <is>
          <t>70.67萬/坪</t>
        </is>
      </c>
      <c r="L231" s="5" t="inlineStr"/>
      <c r="M231" s="5" t="inlineStr">
        <is>
          <t>預售</t>
        </is>
      </c>
      <c r="N231" s="5" t="inlineStr">
        <is>
          <t>L3</t>
        </is>
      </c>
      <c r="O231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32">
      <c r="A232" s="5" t="n">
        <v>231</v>
      </c>
      <c r="B232" s="5" t="inlineStr">
        <is>
          <t>臺中市</t>
        </is>
      </c>
      <c r="C232" s="5" t="inlineStr">
        <is>
          <t>A21004</t>
        </is>
      </c>
      <c r="D232" s="5" t="inlineStr">
        <is>
          <t>taichung</t>
        </is>
      </c>
      <c r="E232" s="5" t="inlineStr">
        <is>
          <t>13期重劃</t>
        </is>
      </c>
      <c r="F232" s="5" t="inlineStr">
        <is>
          <t>公辦市地重劃</t>
        </is>
      </c>
      <c r="G232" s="5" t="inlineStr">
        <is>
          <t>石云尹之居</t>
        </is>
      </c>
      <c r="H232" s="5" t="inlineStr"/>
      <c r="I232" s="5" t="inlineStr">
        <is>
          <t>60戶</t>
        </is>
      </c>
      <c r="J232" s="5" t="inlineStr">
        <is>
          <t>23-36坪</t>
        </is>
      </c>
      <c r="K232" s="5" t="inlineStr">
        <is>
          <t>57.65萬/坪</t>
        </is>
      </c>
      <c r="L232" s="5" t="inlineStr"/>
      <c r="M232" s="5" t="inlineStr">
        <is>
          <t>預售</t>
        </is>
      </c>
      <c r="N232" s="5" t="inlineStr">
        <is>
          <t>L3</t>
        </is>
      </c>
      <c r="O232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33">
      <c r="A233" s="5" t="n">
        <v>232</v>
      </c>
      <c r="B233" s="5" t="inlineStr">
        <is>
          <t>臺中市</t>
        </is>
      </c>
      <c r="C233" s="5" t="inlineStr">
        <is>
          <t>A21004</t>
        </is>
      </c>
      <c r="D233" s="5" t="inlineStr">
        <is>
          <t>taichung</t>
        </is>
      </c>
      <c r="E233" s="5" t="inlineStr">
        <is>
          <t>13期重劃</t>
        </is>
      </c>
      <c r="F233" s="5" t="inlineStr">
        <is>
          <t>公辦市地重劃</t>
        </is>
      </c>
      <c r="G233" s="5" t="inlineStr">
        <is>
          <t>鉅虹天蒔</t>
        </is>
      </c>
      <c r="H233" s="5" t="inlineStr">
        <is>
          <t>鉅虹建設</t>
        </is>
      </c>
      <c r="I233" s="5" t="inlineStr">
        <is>
          <t>36戶</t>
        </is>
      </c>
      <c r="J233" s="5" t="inlineStr">
        <is>
          <t>37坪</t>
        </is>
      </c>
      <c r="K233" s="5" t="inlineStr"/>
      <c r="L233" s="5" t="inlineStr"/>
      <c r="M233" s="5" t="inlineStr">
        <is>
          <t>預售</t>
        </is>
      </c>
      <c r="N233" s="5" t="inlineStr">
        <is>
          <t>L3</t>
        </is>
      </c>
      <c r="O233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34">
      <c r="A234" s="5" t="n">
        <v>233</v>
      </c>
      <c r="B234" s="5" t="inlineStr">
        <is>
          <t>臺中市</t>
        </is>
      </c>
      <c r="C234" s="5" t="inlineStr">
        <is>
          <t>A21004</t>
        </is>
      </c>
      <c r="D234" s="5" t="inlineStr">
        <is>
          <t>taichung</t>
        </is>
      </c>
      <c r="E234" s="5" t="inlineStr">
        <is>
          <t>13期重劃</t>
        </is>
      </c>
      <c r="F234" s="5" t="inlineStr">
        <is>
          <t>公辦市地重劃</t>
        </is>
      </c>
      <c r="G234" s="5" t="inlineStr">
        <is>
          <t>鉅虹天麗</t>
        </is>
      </c>
      <c r="H234" s="5" t="inlineStr">
        <is>
          <t>鉅虹建設</t>
        </is>
      </c>
      <c r="I234" s="5" t="inlineStr">
        <is>
          <t>49戶</t>
        </is>
      </c>
      <c r="J234" s="5" t="inlineStr">
        <is>
          <t>27-29坪</t>
        </is>
      </c>
      <c r="K234" s="5" t="inlineStr"/>
      <c r="L234" s="5" t="inlineStr"/>
      <c r="M234" s="5" t="inlineStr">
        <is>
          <t>預售</t>
        </is>
      </c>
      <c r="N234" s="5" t="inlineStr">
        <is>
          <t>L3</t>
        </is>
      </c>
      <c r="O234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35">
      <c r="A235" s="5" t="n">
        <v>234</v>
      </c>
      <c r="B235" s="5" t="inlineStr">
        <is>
          <t>臺中市</t>
        </is>
      </c>
      <c r="C235" s="5" t="inlineStr">
        <is>
          <t>A21004</t>
        </is>
      </c>
      <c r="D235" s="5" t="inlineStr">
        <is>
          <t>taichung</t>
        </is>
      </c>
      <c r="E235" s="5" t="inlineStr">
        <is>
          <t>13期重劃</t>
        </is>
      </c>
      <c r="F235" s="5" t="inlineStr">
        <is>
          <t>公辦市地重劃</t>
        </is>
      </c>
      <c r="G235" s="5" t="inlineStr">
        <is>
          <t>齊又新執善</t>
        </is>
      </c>
      <c r="H235" s="5" t="inlineStr"/>
      <c r="I235" s="5" t="inlineStr">
        <is>
          <t>38戶</t>
        </is>
      </c>
      <c r="J235" s="5" t="inlineStr">
        <is>
          <t>26-34坪</t>
        </is>
      </c>
      <c r="K235" s="5" t="inlineStr">
        <is>
          <t>68.42萬/坪</t>
        </is>
      </c>
      <c r="L235" s="5" t="inlineStr"/>
      <c r="M235" s="5" t="inlineStr">
        <is>
          <t>預售</t>
        </is>
      </c>
      <c r="N235" s="5" t="inlineStr">
        <is>
          <t>L3</t>
        </is>
      </c>
      <c r="O235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36">
      <c r="A236" s="5" t="n">
        <v>235</v>
      </c>
      <c r="B236" s="5" t="inlineStr">
        <is>
          <t>臺中市</t>
        </is>
      </c>
      <c r="C236" s="5" t="inlineStr">
        <is>
          <t>A21004</t>
        </is>
      </c>
      <c r="D236" s="5" t="inlineStr">
        <is>
          <t>taichung</t>
        </is>
      </c>
      <c r="E236" s="5" t="inlineStr">
        <is>
          <t>13期重劃</t>
        </is>
      </c>
      <c r="F236" s="5" t="inlineStr">
        <is>
          <t>公辦市地重劃</t>
        </is>
      </c>
      <c r="G236" s="5" t="inlineStr">
        <is>
          <t>和宜真</t>
        </is>
      </c>
      <c r="H236" s="5" t="inlineStr"/>
      <c r="I236" s="5" t="inlineStr">
        <is>
          <t>103戶</t>
        </is>
      </c>
      <c r="J236" s="5" t="inlineStr">
        <is>
          <t>23-33坪</t>
        </is>
      </c>
      <c r="K236" s="5" t="inlineStr">
        <is>
          <t>開價55.8-60萬/坪</t>
        </is>
      </c>
      <c r="L236" s="5" t="inlineStr"/>
      <c r="M236" s="5" t="inlineStr">
        <is>
          <t>預售</t>
        </is>
      </c>
      <c r="N236" s="5" t="inlineStr">
        <is>
          <t>L3</t>
        </is>
      </c>
      <c r="O236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37">
      <c r="A237" s="5" t="n">
        <v>236</v>
      </c>
      <c r="B237" s="5" t="inlineStr">
        <is>
          <t>臺中市</t>
        </is>
      </c>
      <c r="C237" s="5" t="inlineStr">
        <is>
          <t>A21004</t>
        </is>
      </c>
      <c r="D237" s="5" t="inlineStr">
        <is>
          <t>taichung</t>
        </is>
      </c>
      <c r="E237" s="5" t="inlineStr">
        <is>
          <t>13期重劃</t>
        </is>
      </c>
      <c r="F237" s="5" t="inlineStr">
        <is>
          <t>公辦市地重劃</t>
        </is>
      </c>
      <c r="G237" s="5" t="inlineStr">
        <is>
          <t>南悅樂田</t>
        </is>
      </c>
      <c r="H237" s="5" t="inlineStr"/>
      <c r="I237" s="5" t="inlineStr">
        <is>
          <t>125戶</t>
        </is>
      </c>
      <c r="J237" s="5" t="inlineStr">
        <is>
          <t>26-38坪</t>
        </is>
      </c>
      <c r="K237" s="5" t="inlineStr">
        <is>
          <t>65.47萬/坪</t>
        </is>
      </c>
      <c r="L237" s="5" t="inlineStr"/>
      <c r="M237" s="5" t="inlineStr">
        <is>
          <t>預售</t>
        </is>
      </c>
      <c r="N237" s="5" t="inlineStr">
        <is>
          <t>L3</t>
        </is>
      </c>
      <c r="O237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38">
      <c r="A238" s="5" t="n">
        <v>237</v>
      </c>
      <c r="B238" s="5" t="inlineStr">
        <is>
          <t>臺中市</t>
        </is>
      </c>
      <c r="C238" s="5" t="inlineStr">
        <is>
          <t>A21004</t>
        </is>
      </c>
      <c r="D238" s="5" t="inlineStr">
        <is>
          <t>taichung</t>
        </is>
      </c>
      <c r="E238" s="5" t="inlineStr">
        <is>
          <t>13期重劃</t>
        </is>
      </c>
      <c r="F238" s="5" t="inlineStr">
        <is>
          <t>公辦市地重劃</t>
        </is>
      </c>
      <c r="G238" s="5" t="inlineStr">
        <is>
          <t>打里摺樂田田</t>
        </is>
      </c>
      <c r="H238" s="5" t="inlineStr">
        <is>
          <t>打里摺建設</t>
        </is>
      </c>
      <c r="I238" s="5" t="inlineStr">
        <is>
          <t>27戶</t>
        </is>
      </c>
      <c r="J238" s="5" t="inlineStr">
        <is>
          <t>36-58坪</t>
        </is>
      </c>
      <c r="K238" s="5" t="inlineStr"/>
      <c r="L238" s="5" t="inlineStr"/>
      <c r="M238" s="5" t="inlineStr"/>
      <c r="N238" s="5" t="inlineStr">
        <is>
          <t>L3</t>
        </is>
      </c>
      <c r="O238" s="5" t="inlineStr">
        <is>
          <t>https://www.housefeel.com.tw/article/%E5%8F%B0%E4%B8%AD13%E6%9C%9F-%E5%8F%B0%E4%B8%AD13%E6%9C%9F%E9%87%8D%E5%8A%83%E5%8D%80-%E5%8D%81%E4%B8%89%E6%9C%9F%E9%87%8D%E5%8A%83%E5%8D%80/</t>
        </is>
      </c>
    </row>
    <row r="239">
      <c r="A239" s="5" t="n">
        <v>238</v>
      </c>
      <c r="B239" s="5" t="inlineStr">
        <is>
          <t>臺中市</t>
        </is>
      </c>
      <c r="C239" s="5" t="inlineStr">
        <is>
          <t>A21004</t>
        </is>
      </c>
      <c r="D239" s="5" t="inlineStr">
        <is>
          <t>taichung</t>
        </is>
      </c>
      <c r="E239" s="5" t="inlineStr">
        <is>
          <t>14期重劃</t>
        </is>
      </c>
      <c r="F239" s="5" t="inlineStr">
        <is>
          <t>公辦市地重劃</t>
        </is>
      </c>
      <c r="G239" s="5" t="inlineStr">
        <is>
          <t>豐謙HOME+</t>
        </is>
      </c>
      <c r="H239" s="5" t="inlineStr">
        <is>
          <t>豐謙建設</t>
        </is>
      </c>
      <c r="I239" s="5" t="inlineStr">
        <is>
          <t>83戶</t>
        </is>
      </c>
      <c r="J239" s="5" t="inlineStr">
        <is>
          <t>37-42坪</t>
        </is>
      </c>
      <c r="K239" s="5" t="inlineStr"/>
      <c r="L239" s="5" t="inlineStr"/>
      <c r="M239" s="5" t="inlineStr">
        <is>
          <t>預售</t>
        </is>
      </c>
      <c r="N239" s="5" t="inlineStr">
        <is>
          <t>L3</t>
        </is>
      </c>
      <c r="O239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40">
      <c r="A240" s="5" t="n">
        <v>239</v>
      </c>
      <c r="B240" s="5" t="inlineStr">
        <is>
          <t>臺中市</t>
        </is>
      </c>
      <c r="C240" s="5" t="inlineStr">
        <is>
          <t>A21004</t>
        </is>
      </c>
      <c r="D240" s="5" t="inlineStr">
        <is>
          <t>taichung</t>
        </is>
      </c>
      <c r="E240" s="5" t="inlineStr">
        <is>
          <t>14期重劃</t>
        </is>
      </c>
      <c r="F240" s="5" t="inlineStr">
        <is>
          <t>公辦市地重劃</t>
        </is>
      </c>
      <c r="G240" s="5" t="inlineStr">
        <is>
          <t>泓瑞洲際之森</t>
        </is>
      </c>
      <c r="H240" s="5" t="inlineStr">
        <is>
          <t>泓瑞建設</t>
        </is>
      </c>
      <c r="I240" s="5" t="inlineStr">
        <is>
          <t>100戶</t>
        </is>
      </c>
      <c r="J240" s="5" t="inlineStr">
        <is>
          <t>26-35坪</t>
        </is>
      </c>
      <c r="K240" s="5" t="inlineStr">
        <is>
          <t>56.04萬/坪</t>
        </is>
      </c>
      <c r="L240" s="5" t="inlineStr"/>
      <c r="M240" s="5" t="inlineStr">
        <is>
          <t>預售</t>
        </is>
      </c>
      <c r="N240" s="5" t="inlineStr">
        <is>
          <t>L3</t>
        </is>
      </c>
      <c r="O240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41">
      <c r="A241" s="5" t="n">
        <v>240</v>
      </c>
      <c r="B241" s="5" t="inlineStr">
        <is>
          <t>臺中市</t>
        </is>
      </c>
      <c r="C241" s="5" t="inlineStr">
        <is>
          <t>A21004</t>
        </is>
      </c>
      <c r="D241" s="5" t="inlineStr">
        <is>
          <t>taichung</t>
        </is>
      </c>
      <c r="E241" s="5" t="inlineStr">
        <is>
          <t>14期重劃</t>
        </is>
      </c>
      <c r="F241" s="5" t="inlineStr">
        <is>
          <t>公辦市地重劃</t>
        </is>
      </c>
      <c r="G241" s="5" t="inlineStr">
        <is>
          <t>順天KING'S ROAD</t>
        </is>
      </c>
      <c r="H241" s="5" t="inlineStr">
        <is>
          <t>順天建設</t>
        </is>
      </c>
      <c r="I241" s="5" t="inlineStr">
        <is>
          <t>140戶</t>
        </is>
      </c>
      <c r="J241" s="5" t="inlineStr">
        <is>
          <t>48-54坪</t>
        </is>
      </c>
      <c r="K241" s="5" t="inlineStr">
        <is>
          <t>70.18萬/坪</t>
        </is>
      </c>
      <c r="L241" s="5" t="inlineStr"/>
      <c r="M241" s="5" t="inlineStr">
        <is>
          <t>預售</t>
        </is>
      </c>
      <c r="N241" s="5" t="inlineStr">
        <is>
          <t>L3</t>
        </is>
      </c>
      <c r="O241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42">
      <c r="A242" s="5" t="n">
        <v>241</v>
      </c>
      <c r="B242" s="5" t="inlineStr">
        <is>
          <t>臺中市</t>
        </is>
      </c>
      <c r="C242" s="5" t="inlineStr">
        <is>
          <t>A21004</t>
        </is>
      </c>
      <c r="D242" s="5" t="inlineStr">
        <is>
          <t>taichung</t>
        </is>
      </c>
      <c r="E242" s="5" t="inlineStr">
        <is>
          <t>14期重劃</t>
        </is>
      </c>
      <c r="F242" s="5" t="inlineStr">
        <is>
          <t>公辦市地重劃</t>
        </is>
      </c>
      <c r="G242" s="5" t="inlineStr">
        <is>
          <t>大映奕居</t>
        </is>
      </c>
      <c r="H242" s="5" t="inlineStr">
        <is>
          <t>大映建設</t>
        </is>
      </c>
      <c r="I242" s="5" t="inlineStr">
        <is>
          <t>93戶</t>
        </is>
      </c>
      <c r="J242" s="5" t="inlineStr">
        <is>
          <t>24-36坪</t>
        </is>
      </c>
      <c r="K242" s="5" t="inlineStr">
        <is>
          <t>65.43萬/坪</t>
        </is>
      </c>
      <c r="L242" s="5" t="inlineStr"/>
      <c r="M242" s="5" t="inlineStr">
        <is>
          <t>預售</t>
        </is>
      </c>
      <c r="N242" s="5" t="inlineStr">
        <is>
          <t>L3</t>
        </is>
      </c>
      <c r="O242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43">
      <c r="A243" s="5" t="n">
        <v>242</v>
      </c>
      <c r="B243" s="5" t="inlineStr">
        <is>
          <t>臺中市</t>
        </is>
      </c>
      <c r="C243" s="5" t="inlineStr">
        <is>
          <t>A21004</t>
        </is>
      </c>
      <c r="D243" s="5" t="inlineStr">
        <is>
          <t>taichung</t>
        </is>
      </c>
      <c r="E243" s="5" t="inlineStr">
        <is>
          <t>14期重劃</t>
        </is>
      </c>
      <c r="F243" s="5" t="inlineStr">
        <is>
          <t>公辦市地重劃</t>
        </is>
      </c>
      <c r="G243" s="5" t="inlineStr">
        <is>
          <t>雋業V雋</t>
        </is>
      </c>
      <c r="H243" s="5" t="inlineStr">
        <is>
          <t>雋業建設</t>
        </is>
      </c>
      <c r="I243" s="5" t="inlineStr">
        <is>
          <t>62戶</t>
        </is>
      </c>
      <c r="J243" s="5" t="inlineStr">
        <is>
          <t>24-37坪</t>
        </is>
      </c>
      <c r="K243" s="5" t="inlineStr">
        <is>
          <t>66.06萬/坪</t>
        </is>
      </c>
      <c r="L243" s="5" t="inlineStr"/>
      <c r="M243" s="5" t="inlineStr">
        <is>
          <t>預售</t>
        </is>
      </c>
      <c r="N243" s="5" t="inlineStr">
        <is>
          <t>L3</t>
        </is>
      </c>
      <c r="O243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44">
      <c r="A244" s="5" t="n">
        <v>243</v>
      </c>
      <c r="B244" s="5" t="inlineStr">
        <is>
          <t>臺中市</t>
        </is>
      </c>
      <c r="C244" s="5" t="inlineStr">
        <is>
          <t>A21004</t>
        </is>
      </c>
      <c r="D244" s="5" t="inlineStr">
        <is>
          <t>taichung</t>
        </is>
      </c>
      <c r="E244" s="5" t="inlineStr">
        <is>
          <t>14期重劃</t>
        </is>
      </c>
      <c r="F244" s="5" t="inlineStr">
        <is>
          <t>公辦市地重劃</t>
        </is>
      </c>
      <c r="G244" s="5" t="inlineStr">
        <is>
          <t>敦泰一境</t>
        </is>
      </c>
      <c r="H244" s="5" t="inlineStr">
        <is>
          <t>敦泰建設</t>
        </is>
      </c>
      <c r="I244" s="5" t="inlineStr">
        <is>
          <t>71戶</t>
        </is>
      </c>
      <c r="J244" s="5" t="inlineStr">
        <is>
          <t>37-51坪</t>
        </is>
      </c>
      <c r="K244" s="5" t="inlineStr"/>
      <c r="L244" s="5" t="inlineStr"/>
      <c r="M244" s="5" t="inlineStr">
        <is>
          <t>預售</t>
        </is>
      </c>
      <c r="N244" s="5" t="inlineStr">
        <is>
          <t>L3</t>
        </is>
      </c>
      <c r="O244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45">
      <c r="A245" s="5" t="n">
        <v>244</v>
      </c>
      <c r="B245" s="5" t="inlineStr">
        <is>
          <t>臺中市</t>
        </is>
      </c>
      <c r="C245" s="5" t="inlineStr">
        <is>
          <t>A21004</t>
        </is>
      </c>
      <c r="D245" s="5" t="inlineStr">
        <is>
          <t>taichung</t>
        </is>
      </c>
      <c r="E245" s="5" t="inlineStr">
        <is>
          <t>14期重劃</t>
        </is>
      </c>
      <c r="F245" s="5" t="inlineStr">
        <is>
          <t>公辦市地重劃</t>
        </is>
      </c>
      <c r="G245" s="5" t="inlineStr">
        <is>
          <t>亞昕嶼森</t>
        </is>
      </c>
      <c r="H245" s="5" t="inlineStr">
        <is>
          <t>亞昕國際</t>
        </is>
      </c>
      <c r="I245" s="5" t="inlineStr">
        <is>
          <t>175戶</t>
        </is>
      </c>
      <c r="J245" s="5" t="inlineStr">
        <is>
          <t>22-38坪</t>
        </is>
      </c>
      <c r="K245" s="5" t="inlineStr">
        <is>
          <t>65.74萬/坪</t>
        </is>
      </c>
      <c r="L245" s="5" t="inlineStr"/>
      <c r="M245" s="5" t="inlineStr">
        <is>
          <t>預售</t>
        </is>
      </c>
      <c r="N245" s="5" t="inlineStr">
        <is>
          <t>L3</t>
        </is>
      </c>
      <c r="O245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46">
      <c r="A246" s="5" t="n">
        <v>245</v>
      </c>
      <c r="B246" s="5" t="inlineStr">
        <is>
          <t>臺中市</t>
        </is>
      </c>
      <c r="C246" s="5" t="inlineStr">
        <is>
          <t>A21004</t>
        </is>
      </c>
      <c r="D246" s="5" t="inlineStr">
        <is>
          <t>taichung</t>
        </is>
      </c>
      <c r="E246" s="5" t="inlineStr">
        <is>
          <t>14期重劃</t>
        </is>
      </c>
      <c r="F246" s="5" t="inlineStr">
        <is>
          <t>公辦市地重劃</t>
        </is>
      </c>
      <c r="G246" s="5" t="inlineStr">
        <is>
          <t>惠宇和慕</t>
        </is>
      </c>
      <c r="H246" s="5" t="inlineStr">
        <is>
          <t>惠宇建設</t>
        </is>
      </c>
      <c r="I246" s="5" t="inlineStr">
        <is>
          <t>112戶</t>
        </is>
      </c>
      <c r="J246" s="5" t="inlineStr">
        <is>
          <t>38-52坪</t>
        </is>
      </c>
      <c r="K246" s="5" t="inlineStr">
        <is>
          <t>65.4萬/坪</t>
        </is>
      </c>
      <c r="L246" s="5" t="inlineStr"/>
      <c r="M246" s="5" t="inlineStr">
        <is>
          <t>預售</t>
        </is>
      </c>
      <c r="N246" s="5" t="inlineStr">
        <is>
          <t>L3</t>
        </is>
      </c>
      <c r="O246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47">
      <c r="A247" s="5" t="n">
        <v>246</v>
      </c>
      <c r="B247" s="5" t="inlineStr">
        <is>
          <t>臺中市</t>
        </is>
      </c>
      <c r="C247" s="5" t="inlineStr">
        <is>
          <t>A21004</t>
        </is>
      </c>
      <c r="D247" s="5" t="inlineStr">
        <is>
          <t>taichung</t>
        </is>
      </c>
      <c r="E247" s="5" t="inlineStr">
        <is>
          <t>14期重劃</t>
        </is>
      </c>
      <c r="F247" s="5" t="inlineStr">
        <is>
          <t>公辦市地重劃</t>
        </is>
      </c>
      <c r="G247" s="5" t="inlineStr">
        <is>
          <t>惠宇MY PARK</t>
        </is>
      </c>
      <c r="H247" s="5" t="inlineStr">
        <is>
          <t>惠宇建設</t>
        </is>
      </c>
      <c r="I247" s="5" t="inlineStr">
        <is>
          <t>130戶</t>
        </is>
      </c>
      <c r="J247" s="5" t="inlineStr">
        <is>
          <t>32-52坪</t>
        </is>
      </c>
      <c r="K247" s="5" t="inlineStr">
        <is>
          <t>76.03萬/坪</t>
        </is>
      </c>
      <c r="L247" s="5" t="inlineStr"/>
      <c r="M247" s="5" t="inlineStr">
        <is>
          <t>預售</t>
        </is>
      </c>
      <c r="N247" s="5" t="inlineStr">
        <is>
          <t>L3</t>
        </is>
      </c>
      <c r="O247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48">
      <c r="A248" s="5" t="n">
        <v>247</v>
      </c>
      <c r="B248" s="5" t="inlineStr">
        <is>
          <t>臺中市</t>
        </is>
      </c>
      <c r="C248" s="5" t="inlineStr">
        <is>
          <t>A21004</t>
        </is>
      </c>
      <c r="D248" s="5" t="inlineStr">
        <is>
          <t>taichung</t>
        </is>
      </c>
      <c r="E248" s="5" t="inlineStr">
        <is>
          <t>14期重劃</t>
        </is>
      </c>
      <c r="F248" s="5" t="inlineStr">
        <is>
          <t>公辦市地重劃</t>
        </is>
      </c>
      <c r="G248" s="5" t="inlineStr">
        <is>
          <t>遠雄丰尚</t>
        </is>
      </c>
      <c r="H248" s="5" t="inlineStr">
        <is>
          <t>遠雄建設</t>
        </is>
      </c>
      <c r="I248" s="5" t="inlineStr">
        <is>
          <t>120戶</t>
        </is>
      </c>
      <c r="J248" s="5" t="inlineStr">
        <is>
          <t>27-38坪</t>
        </is>
      </c>
      <c r="K248" s="5" t="inlineStr">
        <is>
          <t>68.09萬/坪</t>
        </is>
      </c>
      <c r="L248" s="5" t="inlineStr"/>
      <c r="M248" s="5" t="inlineStr">
        <is>
          <t>預售</t>
        </is>
      </c>
      <c r="N248" s="5" t="inlineStr">
        <is>
          <t>L3</t>
        </is>
      </c>
      <c r="O248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49">
      <c r="A249" s="5" t="n">
        <v>248</v>
      </c>
      <c r="B249" s="5" t="inlineStr">
        <is>
          <t>臺中市</t>
        </is>
      </c>
      <c r="C249" s="5" t="inlineStr">
        <is>
          <t>A21004</t>
        </is>
      </c>
      <c r="D249" s="5" t="inlineStr">
        <is>
          <t>taichung</t>
        </is>
      </c>
      <c r="E249" s="5" t="inlineStr">
        <is>
          <t>14期重劃</t>
        </is>
      </c>
      <c r="F249" s="5" t="inlineStr">
        <is>
          <t>公辦市地重劃</t>
        </is>
      </c>
      <c r="G249" s="5" t="inlineStr">
        <is>
          <t>大陸豐莚</t>
        </is>
      </c>
      <c r="H249" s="5" t="inlineStr">
        <is>
          <t>大陸建設</t>
        </is>
      </c>
      <c r="I249" s="5" t="inlineStr">
        <is>
          <t>94戶</t>
        </is>
      </c>
      <c r="J249" s="5" t="inlineStr">
        <is>
          <t>40-60坪</t>
        </is>
      </c>
      <c r="K249" s="5" t="inlineStr">
        <is>
          <t>73.87萬/坪</t>
        </is>
      </c>
      <c r="L249" s="5" t="inlineStr"/>
      <c r="M249" s="5" t="inlineStr"/>
      <c r="N249" s="5" t="inlineStr">
        <is>
          <t>L3</t>
        </is>
      </c>
      <c r="O249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50">
      <c r="A250" s="5" t="n">
        <v>249</v>
      </c>
      <c r="B250" s="5" t="inlineStr">
        <is>
          <t>臺中市</t>
        </is>
      </c>
      <c r="C250" s="5" t="inlineStr">
        <is>
          <t>A21004</t>
        </is>
      </c>
      <c r="D250" s="5" t="inlineStr">
        <is>
          <t>taichung</t>
        </is>
      </c>
      <c r="E250" s="5" t="inlineStr">
        <is>
          <t>14期重劃</t>
        </is>
      </c>
      <c r="F250" s="5" t="inlineStr">
        <is>
          <t>公辦市地重劃</t>
        </is>
      </c>
      <c r="G250" s="5" t="inlineStr">
        <is>
          <t>寶輝WATER PARK</t>
        </is>
      </c>
      <c r="H250" s="5" t="inlineStr">
        <is>
          <t>寶輝建設</t>
        </is>
      </c>
      <c r="I250" s="5" t="inlineStr">
        <is>
          <t>141戶</t>
        </is>
      </c>
      <c r="J250" s="5" t="inlineStr">
        <is>
          <t>30-55坪</t>
        </is>
      </c>
      <c r="K250" s="5" t="inlineStr">
        <is>
          <t>76.72萬/坪</t>
        </is>
      </c>
      <c r="L250" s="5" t="inlineStr"/>
      <c r="M250" s="5" t="inlineStr"/>
      <c r="N250" s="5" t="inlineStr">
        <is>
          <t>L3</t>
        </is>
      </c>
      <c r="O250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51">
      <c r="A251" s="5" t="n">
        <v>250</v>
      </c>
      <c r="B251" s="5" t="inlineStr">
        <is>
          <t>臺中市</t>
        </is>
      </c>
      <c r="C251" s="5" t="inlineStr">
        <is>
          <t>A21004</t>
        </is>
      </c>
      <c r="D251" s="5" t="inlineStr">
        <is>
          <t>taichung</t>
        </is>
      </c>
      <c r="E251" s="5" t="inlineStr">
        <is>
          <t>14期重劃</t>
        </is>
      </c>
      <c r="F251" s="5" t="inlineStr">
        <is>
          <t>公辦市地重劃</t>
        </is>
      </c>
      <c r="G251" s="5" t="inlineStr">
        <is>
          <t>亞昕一緒</t>
        </is>
      </c>
      <c r="H251" s="5" t="inlineStr">
        <is>
          <t>亞昕國際</t>
        </is>
      </c>
      <c r="I251" s="5" t="inlineStr">
        <is>
          <t>62戶</t>
        </is>
      </c>
      <c r="J251" s="5" t="inlineStr">
        <is>
          <t>27-34坪</t>
        </is>
      </c>
      <c r="K251" s="5" t="inlineStr">
        <is>
          <t>49.27萬/坪</t>
        </is>
      </c>
      <c r="L251" s="5" t="inlineStr"/>
      <c r="M251" s="5" t="inlineStr">
        <is>
          <t>已完工</t>
        </is>
      </c>
      <c r="N251" s="5" t="inlineStr">
        <is>
          <t>L3</t>
        </is>
      </c>
      <c r="O251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52">
      <c r="A252" s="5" t="n">
        <v>251</v>
      </c>
      <c r="B252" s="5" t="inlineStr">
        <is>
          <t>臺中市</t>
        </is>
      </c>
      <c r="C252" s="5" t="inlineStr">
        <is>
          <t>A21004</t>
        </is>
      </c>
      <c r="D252" s="5" t="inlineStr">
        <is>
          <t>taichung</t>
        </is>
      </c>
      <c r="E252" s="5" t="inlineStr">
        <is>
          <t>14期重劃</t>
        </is>
      </c>
      <c r="F252" s="5" t="inlineStr">
        <is>
          <t>公辦市地重劃</t>
        </is>
      </c>
      <c r="G252" s="5" t="inlineStr">
        <is>
          <t>陸府織森</t>
        </is>
      </c>
      <c r="H252" s="5" t="inlineStr">
        <is>
          <t>陸府建設</t>
        </is>
      </c>
      <c r="I252" s="5" t="inlineStr">
        <is>
          <t>96戶</t>
        </is>
      </c>
      <c r="J252" s="5" t="inlineStr">
        <is>
          <t>48-78坪</t>
        </is>
      </c>
      <c r="K252" s="5" t="inlineStr">
        <is>
          <t>66.13萬/坪</t>
        </is>
      </c>
      <c r="L252" s="5" t="inlineStr"/>
      <c r="M252" s="5" t="inlineStr">
        <is>
          <t>已完工</t>
        </is>
      </c>
      <c r="N252" s="5" t="inlineStr">
        <is>
          <t>L3</t>
        </is>
      </c>
      <c r="O252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53">
      <c r="A253" s="5" t="n">
        <v>252</v>
      </c>
      <c r="B253" s="5" t="inlineStr">
        <is>
          <t>臺中市</t>
        </is>
      </c>
      <c r="C253" s="5" t="inlineStr">
        <is>
          <t>A21004</t>
        </is>
      </c>
      <c r="D253" s="5" t="inlineStr">
        <is>
          <t>taichung</t>
        </is>
      </c>
      <c r="E253" s="5" t="inlineStr">
        <is>
          <t>14期重劃</t>
        </is>
      </c>
      <c r="F253" s="5" t="inlineStr">
        <is>
          <t>公辦市地重劃</t>
        </is>
      </c>
      <c r="G253" s="5" t="inlineStr">
        <is>
          <t>亞昕一沐</t>
        </is>
      </c>
      <c r="H253" s="5" t="inlineStr">
        <is>
          <t>亞昕國際</t>
        </is>
      </c>
      <c r="I253" s="5" t="inlineStr">
        <is>
          <t>96戶</t>
        </is>
      </c>
      <c r="J253" s="5" t="inlineStr">
        <is>
          <t>21-34坪</t>
        </is>
      </c>
      <c r="K253" s="5" t="inlineStr">
        <is>
          <t>51.22萬/坪</t>
        </is>
      </c>
      <c r="L253" s="5" t="inlineStr"/>
      <c r="M253" s="5" t="inlineStr">
        <is>
          <t>已完工</t>
        </is>
      </c>
      <c r="N253" s="5" t="inlineStr">
        <is>
          <t>L3</t>
        </is>
      </c>
      <c r="O253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54">
      <c r="A254" s="5" t="n">
        <v>253</v>
      </c>
      <c r="B254" s="5" t="inlineStr">
        <is>
          <t>臺中市</t>
        </is>
      </c>
      <c r="C254" s="5" t="inlineStr">
        <is>
          <t>A21004</t>
        </is>
      </c>
      <c r="D254" s="5" t="inlineStr">
        <is>
          <t>taichung</t>
        </is>
      </c>
      <c r="E254" s="5" t="inlineStr">
        <is>
          <t>14期重劃</t>
        </is>
      </c>
      <c r="F254" s="5" t="inlineStr">
        <is>
          <t>公辦市地重劃</t>
        </is>
      </c>
      <c r="G254" s="5" t="inlineStr">
        <is>
          <t>豐邑豐穗</t>
        </is>
      </c>
      <c r="H254" s="5" t="inlineStr">
        <is>
          <t>豐邑建設</t>
        </is>
      </c>
      <c r="I254" s="5" t="inlineStr">
        <is>
          <t>58戶</t>
        </is>
      </c>
      <c r="J254" s="5" t="inlineStr">
        <is>
          <t>51-61坪</t>
        </is>
      </c>
      <c r="K254" s="5" t="inlineStr"/>
      <c r="L254" s="5" t="inlineStr"/>
      <c r="M254" s="5" t="inlineStr">
        <is>
          <t>已完工</t>
        </is>
      </c>
      <c r="N254" s="5" t="inlineStr">
        <is>
          <t>L3</t>
        </is>
      </c>
      <c r="O254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55">
      <c r="A255" s="5" t="n">
        <v>254</v>
      </c>
      <c r="B255" s="5" t="inlineStr">
        <is>
          <t>臺中市</t>
        </is>
      </c>
      <c r="C255" s="5" t="inlineStr">
        <is>
          <t>A21004</t>
        </is>
      </c>
      <c r="D255" s="5" t="inlineStr">
        <is>
          <t>taichung</t>
        </is>
      </c>
      <c r="E255" s="5" t="inlineStr">
        <is>
          <t>14期重劃</t>
        </is>
      </c>
      <c r="F255" s="5" t="inlineStr">
        <is>
          <t>公辦市地重劃</t>
        </is>
      </c>
      <c r="G255" s="5" t="inlineStr">
        <is>
          <t>國泰MOST+</t>
        </is>
      </c>
      <c r="H255" s="5" t="inlineStr">
        <is>
          <t>國泰建設</t>
        </is>
      </c>
      <c r="I255" s="5" t="inlineStr">
        <is>
          <t>206戶</t>
        </is>
      </c>
      <c r="J255" s="5" t="inlineStr">
        <is>
          <t>37-55坪</t>
        </is>
      </c>
      <c r="K255" s="5" t="inlineStr">
        <is>
          <t>61.23萬/坪</t>
        </is>
      </c>
      <c r="L255" s="5" t="inlineStr"/>
      <c r="M255" s="5" t="inlineStr">
        <is>
          <t>已完工</t>
        </is>
      </c>
      <c r="N255" s="5" t="inlineStr">
        <is>
          <t>L3</t>
        </is>
      </c>
      <c r="O255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56">
      <c r="A256" s="5" t="n">
        <v>255</v>
      </c>
      <c r="B256" s="5" t="inlineStr">
        <is>
          <t>臺中市</t>
        </is>
      </c>
      <c r="C256" s="5" t="inlineStr">
        <is>
          <t>A21004</t>
        </is>
      </c>
      <c r="D256" s="5" t="inlineStr">
        <is>
          <t>taichung</t>
        </is>
      </c>
      <c r="E256" s="5" t="inlineStr">
        <is>
          <t>14期重劃</t>
        </is>
      </c>
      <c r="F256" s="5" t="inlineStr">
        <is>
          <t>公辦市地重劃</t>
        </is>
      </c>
      <c r="G256" s="5" t="inlineStr">
        <is>
          <t>協勝洲際ONE</t>
        </is>
      </c>
      <c r="H256" s="5" t="inlineStr">
        <is>
          <t>協勝建設</t>
        </is>
      </c>
      <c r="I256" s="5" t="inlineStr">
        <is>
          <t>168戶</t>
        </is>
      </c>
      <c r="J256" s="5" t="inlineStr">
        <is>
          <t>28-37坪</t>
        </is>
      </c>
      <c r="K256" s="5" t="inlineStr">
        <is>
          <t>60.72萬/坪</t>
        </is>
      </c>
      <c r="L256" s="5" t="inlineStr"/>
      <c r="M256" s="5" t="inlineStr">
        <is>
          <t>已完工</t>
        </is>
      </c>
      <c r="N256" s="5" t="inlineStr">
        <is>
          <t>L3</t>
        </is>
      </c>
      <c r="O256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57">
      <c r="A257" s="5" t="n">
        <v>256</v>
      </c>
      <c r="B257" s="5" t="inlineStr">
        <is>
          <t>臺中市</t>
        </is>
      </c>
      <c r="C257" s="5" t="inlineStr">
        <is>
          <t>A21004</t>
        </is>
      </c>
      <c r="D257" s="5" t="inlineStr">
        <is>
          <t>taichung</t>
        </is>
      </c>
      <c r="E257" s="5" t="inlineStr">
        <is>
          <t>14期重劃</t>
        </is>
      </c>
      <c r="F257" s="5" t="inlineStr">
        <is>
          <t>公辦市地重劃</t>
        </is>
      </c>
      <c r="G257" s="5" t="inlineStr">
        <is>
          <t>亞昕一緻</t>
        </is>
      </c>
      <c r="H257" s="5" t="inlineStr">
        <is>
          <t>亞昕國際</t>
        </is>
      </c>
      <c r="I257" s="5" t="inlineStr">
        <is>
          <t>132戶</t>
        </is>
      </c>
      <c r="J257" s="5" t="inlineStr">
        <is>
          <t>26-39坪</t>
        </is>
      </c>
      <c r="K257" s="5" t="inlineStr">
        <is>
          <t>64.56萬/坪</t>
        </is>
      </c>
      <c r="L257" s="5" t="inlineStr"/>
      <c r="M257" s="5" t="inlineStr">
        <is>
          <t>已完工</t>
        </is>
      </c>
      <c r="N257" s="5" t="inlineStr">
        <is>
          <t>L3</t>
        </is>
      </c>
      <c r="O257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58">
      <c r="A258" s="5" t="n">
        <v>257</v>
      </c>
      <c r="B258" s="5" t="inlineStr">
        <is>
          <t>臺中市</t>
        </is>
      </c>
      <c r="C258" s="5" t="inlineStr">
        <is>
          <t>A21004</t>
        </is>
      </c>
      <c r="D258" s="5" t="inlineStr">
        <is>
          <t>taichung</t>
        </is>
      </c>
      <c r="E258" s="5" t="inlineStr">
        <is>
          <t>14期重劃</t>
        </is>
      </c>
      <c r="F258" s="5" t="inlineStr">
        <is>
          <t>公辦市地重劃</t>
        </is>
      </c>
      <c r="G258" s="5" t="inlineStr">
        <is>
          <t>舜元境朗</t>
        </is>
      </c>
      <c r="H258" s="5" t="inlineStr">
        <is>
          <t>舜元建設</t>
        </is>
      </c>
      <c r="I258" s="5" t="inlineStr">
        <is>
          <t>52戶</t>
        </is>
      </c>
      <c r="J258" s="5" t="inlineStr">
        <is>
          <t>37-43坪</t>
        </is>
      </c>
      <c r="K258" s="5" t="inlineStr"/>
      <c r="L258" s="5" t="inlineStr"/>
      <c r="M258" s="5" t="inlineStr">
        <is>
          <t>已完工</t>
        </is>
      </c>
      <c r="N258" s="5" t="inlineStr">
        <is>
          <t>L3</t>
        </is>
      </c>
      <c r="O258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59">
      <c r="A259" s="5" t="n">
        <v>258</v>
      </c>
      <c r="B259" s="5" t="inlineStr">
        <is>
          <t>臺中市</t>
        </is>
      </c>
      <c r="C259" s="5" t="inlineStr">
        <is>
          <t>A21004</t>
        </is>
      </c>
      <c r="D259" s="5" t="inlineStr">
        <is>
          <t>taichung</t>
        </is>
      </c>
      <c r="E259" s="5" t="inlineStr">
        <is>
          <t>14期重劃</t>
        </is>
      </c>
      <c r="F259" s="5" t="inlineStr">
        <is>
          <t>公辦市地重劃</t>
        </is>
      </c>
      <c r="G259" s="5" t="inlineStr">
        <is>
          <t>豐邑豐禾</t>
        </is>
      </c>
      <c r="H259" s="5" t="inlineStr">
        <is>
          <t>豐邑建設</t>
        </is>
      </c>
      <c r="I259" s="5" t="inlineStr">
        <is>
          <t>166戶</t>
        </is>
      </c>
      <c r="J259" s="5" t="inlineStr">
        <is>
          <t>41-48坪</t>
        </is>
      </c>
      <c r="K259" s="5" t="inlineStr">
        <is>
          <t>開價62萬/坪</t>
        </is>
      </c>
      <c r="L259" s="5" t="inlineStr"/>
      <c r="M259" s="5" t="inlineStr">
        <is>
          <t>已完工</t>
        </is>
      </c>
      <c r="N259" s="5" t="inlineStr">
        <is>
          <t>L3</t>
        </is>
      </c>
      <c r="O259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60">
      <c r="A260" s="5" t="n">
        <v>259</v>
      </c>
      <c r="B260" s="5" t="inlineStr">
        <is>
          <t>臺中市</t>
        </is>
      </c>
      <c r="C260" s="5" t="inlineStr">
        <is>
          <t>A21004</t>
        </is>
      </c>
      <c r="D260" s="5" t="inlineStr">
        <is>
          <t>taichung</t>
        </is>
      </c>
      <c r="E260" s="5" t="inlineStr">
        <is>
          <t>14期重劃</t>
        </is>
      </c>
      <c r="F260" s="5" t="inlineStr">
        <is>
          <t>公辦市地重劃</t>
        </is>
      </c>
      <c r="G260" s="5" t="inlineStr">
        <is>
          <t>雙橡園2925</t>
        </is>
      </c>
      <c r="H260" s="5" t="inlineStr">
        <is>
          <t>雙橡園開發</t>
        </is>
      </c>
      <c r="I260" s="5" t="inlineStr">
        <is>
          <t>182戶</t>
        </is>
      </c>
      <c r="J260" s="5" t="inlineStr">
        <is>
          <t>50-70坪</t>
        </is>
      </c>
      <c r="K260" s="5" t="inlineStr"/>
      <c r="L260" s="5" t="inlineStr"/>
      <c r="M260" s="5" t="inlineStr">
        <is>
          <t>已完工</t>
        </is>
      </c>
      <c r="N260" s="5" t="inlineStr">
        <is>
          <t>L3</t>
        </is>
      </c>
      <c r="O260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61">
      <c r="A261" s="5" t="n">
        <v>260</v>
      </c>
      <c r="B261" s="5" t="inlineStr">
        <is>
          <t>臺中市</t>
        </is>
      </c>
      <c r="C261" s="5" t="inlineStr">
        <is>
          <t>A21004</t>
        </is>
      </c>
      <c r="D261" s="5" t="inlineStr">
        <is>
          <t>taichung</t>
        </is>
      </c>
      <c r="E261" s="5" t="inlineStr">
        <is>
          <t>14期重劃</t>
        </is>
      </c>
      <c r="F261" s="5" t="inlineStr">
        <is>
          <t>公辦市地重劃</t>
        </is>
      </c>
      <c r="G261" s="5" t="inlineStr">
        <is>
          <t>虹府敦和2</t>
        </is>
      </c>
      <c r="H261" s="5" t="inlineStr">
        <is>
          <t>虹府建設</t>
        </is>
      </c>
      <c r="I261" s="5" t="inlineStr">
        <is>
          <t>8戶</t>
        </is>
      </c>
      <c r="J261" s="5" t="inlineStr">
        <is>
          <t>81-113坪</t>
        </is>
      </c>
      <c r="K261" s="5" t="inlineStr">
        <is>
          <t>總價5526萬/戶</t>
        </is>
      </c>
      <c r="L261" s="5" t="inlineStr"/>
      <c r="M261" s="5" t="inlineStr">
        <is>
          <t>預售</t>
        </is>
      </c>
      <c r="N261" s="5" t="inlineStr">
        <is>
          <t>L3</t>
        </is>
      </c>
      <c r="O261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62">
      <c r="A262" s="5" t="n">
        <v>261</v>
      </c>
      <c r="B262" s="5" t="inlineStr">
        <is>
          <t>臺中市</t>
        </is>
      </c>
      <c r="C262" s="5" t="inlineStr">
        <is>
          <t>A21004</t>
        </is>
      </c>
      <c r="D262" s="5" t="inlineStr">
        <is>
          <t>taichung</t>
        </is>
      </c>
      <c r="E262" s="5" t="inlineStr">
        <is>
          <t>14期重劃</t>
        </is>
      </c>
      <c r="F262" s="5" t="inlineStr">
        <is>
          <t>公辦市地重劃</t>
        </is>
      </c>
      <c r="G262" s="5" t="inlineStr">
        <is>
          <t>崝新元</t>
        </is>
      </c>
      <c r="H262" s="5" t="inlineStr">
        <is>
          <t>新元建築</t>
        </is>
      </c>
      <c r="I262" s="5" t="inlineStr">
        <is>
          <t>20戶</t>
        </is>
      </c>
      <c r="J262" s="5" t="inlineStr">
        <is>
          <t>79-91坪</t>
        </is>
      </c>
      <c r="K262" s="5" t="inlineStr">
        <is>
          <t>總價4150萬/戶</t>
        </is>
      </c>
      <c r="L262" s="5" t="inlineStr"/>
      <c r="M262" s="5" t="inlineStr">
        <is>
          <t>預售</t>
        </is>
      </c>
      <c r="N262" s="5" t="inlineStr">
        <is>
          <t>L3</t>
        </is>
      </c>
      <c r="O262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63">
      <c r="A263" s="5" t="n">
        <v>262</v>
      </c>
      <c r="B263" s="5" t="inlineStr">
        <is>
          <t>臺中市</t>
        </is>
      </c>
      <c r="C263" s="5" t="inlineStr">
        <is>
          <t>A21004</t>
        </is>
      </c>
      <c r="D263" s="5" t="inlineStr">
        <is>
          <t>taichung</t>
        </is>
      </c>
      <c r="E263" s="5" t="inlineStr">
        <is>
          <t>14期重劃</t>
        </is>
      </c>
      <c r="F263" s="5" t="inlineStr">
        <is>
          <t>公辦市地重劃</t>
        </is>
      </c>
      <c r="G263" s="5" t="inlineStr">
        <is>
          <t>晟溢光御</t>
        </is>
      </c>
      <c r="H263" s="5" t="inlineStr">
        <is>
          <t>晟溢建設</t>
        </is>
      </c>
      <c r="I263" s="5" t="inlineStr">
        <is>
          <t>8戶</t>
        </is>
      </c>
      <c r="J263" s="5" t="inlineStr">
        <is>
          <t>88-101坪</t>
        </is>
      </c>
      <c r="K263" s="5" t="inlineStr">
        <is>
          <t>總價4756萬/戶</t>
        </is>
      </c>
      <c r="L263" s="5" t="inlineStr"/>
      <c r="M263" s="5" t="inlineStr">
        <is>
          <t>已完工</t>
        </is>
      </c>
      <c r="N263" s="5" t="inlineStr">
        <is>
          <t>L3</t>
        </is>
      </c>
      <c r="O263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64">
      <c r="A264" s="5" t="n">
        <v>263</v>
      </c>
      <c r="B264" s="5" t="inlineStr">
        <is>
          <t>臺中市</t>
        </is>
      </c>
      <c r="C264" s="5" t="inlineStr">
        <is>
          <t>A21004</t>
        </is>
      </c>
      <c r="D264" s="5" t="inlineStr">
        <is>
          <t>taichung</t>
        </is>
      </c>
      <c r="E264" s="5" t="inlineStr">
        <is>
          <t>14期重劃</t>
        </is>
      </c>
      <c r="F264" s="5" t="inlineStr">
        <is>
          <t>公辦市地重劃</t>
        </is>
      </c>
      <c r="G264" s="5" t="inlineStr">
        <is>
          <t>晟溢光御2</t>
        </is>
      </c>
      <c r="H264" s="5" t="inlineStr">
        <is>
          <t>晟溢建設</t>
        </is>
      </c>
      <c r="I264" s="5" t="inlineStr">
        <is>
          <t>8戶</t>
        </is>
      </c>
      <c r="J264" s="5" t="inlineStr">
        <is>
          <t>87-90坪</t>
        </is>
      </c>
      <c r="K264" s="5" t="inlineStr">
        <is>
          <t>總價4956萬/戶</t>
        </is>
      </c>
      <c r="L264" s="5" t="inlineStr"/>
      <c r="M264" s="5" t="inlineStr">
        <is>
          <t>已完工</t>
        </is>
      </c>
      <c r="N264" s="5" t="inlineStr">
        <is>
          <t>L3</t>
        </is>
      </c>
      <c r="O264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65">
      <c r="A265" s="5" t="n">
        <v>264</v>
      </c>
      <c r="B265" s="5" t="inlineStr">
        <is>
          <t>臺中市</t>
        </is>
      </c>
      <c r="C265" s="5" t="inlineStr">
        <is>
          <t>A21004</t>
        </is>
      </c>
      <c r="D265" s="5" t="inlineStr">
        <is>
          <t>taichung</t>
        </is>
      </c>
      <c r="E265" s="5" t="inlineStr">
        <is>
          <t>14期重劃</t>
        </is>
      </c>
      <c r="F265" s="5" t="inlineStr">
        <is>
          <t>公辦市地重劃</t>
        </is>
      </c>
      <c r="G265" s="5" t="inlineStr">
        <is>
          <t>豐潤自在</t>
        </is>
      </c>
      <c r="H265" s="5" t="inlineStr">
        <is>
          <t>豐潤建設</t>
        </is>
      </c>
      <c r="I265" s="5" t="inlineStr">
        <is>
          <t>8戶</t>
        </is>
      </c>
      <c r="J265" s="5" t="inlineStr">
        <is>
          <t>135-136坪</t>
        </is>
      </c>
      <c r="K265" s="5" t="inlineStr"/>
      <c r="L265" s="5" t="inlineStr"/>
      <c r="M265" s="5" t="inlineStr">
        <is>
          <t>已完工</t>
        </is>
      </c>
      <c r="N265" s="5" t="inlineStr">
        <is>
          <t>L3</t>
        </is>
      </c>
      <c r="O265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66">
      <c r="A266" s="5" t="n">
        <v>265</v>
      </c>
      <c r="B266" s="5" t="inlineStr">
        <is>
          <t>臺中市</t>
        </is>
      </c>
      <c r="C266" s="5" t="inlineStr">
        <is>
          <t>A21004</t>
        </is>
      </c>
      <c r="D266" s="5" t="inlineStr">
        <is>
          <t>taichung</t>
        </is>
      </c>
      <c r="E266" s="5" t="inlineStr">
        <is>
          <t>14期重劃</t>
        </is>
      </c>
      <c r="F266" s="5" t="inlineStr">
        <is>
          <t>公辦市地重劃</t>
        </is>
      </c>
      <c r="G266" s="5" t="inlineStr">
        <is>
          <t>寬埕越山</t>
        </is>
      </c>
      <c r="H266" s="5" t="inlineStr">
        <is>
          <t>寬埕建設</t>
        </is>
      </c>
      <c r="I266" s="5" t="inlineStr">
        <is>
          <t>5戶</t>
        </is>
      </c>
      <c r="J266" s="5" t="inlineStr">
        <is>
          <t>130-146坪</t>
        </is>
      </c>
      <c r="K266" s="5" t="inlineStr">
        <is>
          <t>總價6299萬/戶</t>
        </is>
      </c>
      <c r="L266" s="5" t="inlineStr"/>
      <c r="M266" s="5" t="inlineStr">
        <is>
          <t>已完工</t>
        </is>
      </c>
      <c r="N266" s="5" t="inlineStr">
        <is>
          <t>L3</t>
        </is>
      </c>
      <c r="O266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67">
      <c r="A267" s="5" t="n">
        <v>266</v>
      </c>
      <c r="B267" s="5" t="inlineStr">
        <is>
          <t>臺中市</t>
        </is>
      </c>
      <c r="C267" s="5" t="inlineStr">
        <is>
          <t>A21004</t>
        </is>
      </c>
      <c r="D267" s="5" t="inlineStr">
        <is>
          <t>taichung</t>
        </is>
      </c>
      <c r="E267" s="5" t="inlineStr">
        <is>
          <t>14期重劃</t>
        </is>
      </c>
      <c r="F267" s="5" t="inlineStr">
        <is>
          <t>公辦市地重劃</t>
        </is>
      </c>
      <c r="G267" s="5" t="inlineStr">
        <is>
          <t>ANEW</t>
        </is>
      </c>
      <c r="H267" s="5" t="inlineStr"/>
      <c r="I267" s="5" t="inlineStr">
        <is>
          <t>15戶</t>
        </is>
      </c>
      <c r="J267" s="5" t="inlineStr">
        <is>
          <t>108-124坪</t>
        </is>
      </c>
      <c r="K267" s="5" t="inlineStr">
        <is>
          <t>總價6100萬/戶</t>
        </is>
      </c>
      <c r="L267" s="5" t="inlineStr"/>
      <c r="M267" s="5" t="inlineStr">
        <is>
          <t>已完工</t>
        </is>
      </c>
      <c r="N267" s="5" t="inlineStr">
        <is>
          <t>L3</t>
        </is>
      </c>
      <c r="O267" s="5" t="inlineStr">
        <is>
          <t>https://www.housefeel.com.tw/article/%E5%8F%B0%E4%B8%AD14%E6%9C%9F%E9%87%8D%E5%8A%83%E5%8D%80-%E5%8D%81%E5%9B%9B%E6%9C%9F%E9%87%8D%E5%8A%83%E5%8D%80-%E5%8F%B0%E4%B8%AD14%E6%9C%9F/</t>
        </is>
      </c>
    </row>
    <row r="268">
      <c r="A268" s="5" t="n">
        <v>267</v>
      </c>
      <c r="B268" s="5" t="inlineStr">
        <is>
          <t>臺中市</t>
        </is>
      </c>
      <c r="C268" s="5" t="inlineStr">
        <is>
          <t>A21004</t>
        </is>
      </c>
      <c r="D268" s="5" t="inlineStr">
        <is>
          <t>taichung</t>
        </is>
      </c>
      <c r="E268" s="5" t="inlineStr">
        <is>
          <t>14期重劃</t>
        </is>
      </c>
      <c r="F268" s="5" t="inlineStr">
        <is>
          <t>公辦市地重劃</t>
        </is>
      </c>
      <c r="G268" s="5" t="inlineStr">
        <is>
          <t>寬展緣森</t>
        </is>
      </c>
      <c r="H268" s="5" t="inlineStr">
        <is>
          <t>寬展建設</t>
        </is>
      </c>
      <c r="I268" s="5" t="inlineStr">
        <is>
          <t>40戶</t>
        </is>
      </c>
      <c r="J268" s="5" t="inlineStr">
        <is>
          <t>21-28坪</t>
        </is>
      </c>
      <c r="K268" s="5" t="inlineStr"/>
      <c r="L268" s="5" t="inlineStr"/>
      <c r="M268" s="5" t="inlineStr">
        <is>
          <t>預售</t>
        </is>
      </c>
      <c r="N268" s="5" t="inlineStr">
        <is>
          <t>L3</t>
        </is>
      </c>
      <c r="O268" s="5" t="inlineStr">
        <is>
          <t>https://www.knowhouse.tw/5434</t>
        </is>
      </c>
    </row>
    <row r="269">
      <c r="A269" s="5" t="n">
        <v>268</v>
      </c>
      <c r="B269" s="5" t="inlineStr">
        <is>
          <t>臺中市</t>
        </is>
      </c>
      <c r="C269" s="5" t="inlineStr">
        <is>
          <t>A21004</t>
        </is>
      </c>
      <c r="D269" s="5" t="inlineStr">
        <is>
          <t>taichung</t>
        </is>
      </c>
      <c r="E269" s="5" t="inlineStr">
        <is>
          <t>太平公辦重劃</t>
        </is>
      </c>
      <c r="F269" s="5" t="inlineStr">
        <is>
          <t>公辦市地重劃</t>
        </is>
      </c>
      <c r="G269" s="5" t="inlineStr">
        <is>
          <t>鴻邑悅中山</t>
        </is>
      </c>
      <c r="H269" s="5" t="inlineStr">
        <is>
          <t>鴻邑建設</t>
        </is>
      </c>
      <c r="I269" s="5" t="inlineStr">
        <is>
          <t>156戶</t>
        </is>
      </c>
      <c r="J269" s="5" t="inlineStr"/>
      <c r="K269" s="5" t="inlineStr"/>
      <c r="L269" s="5" t="inlineStr"/>
      <c r="M269" s="5" t="inlineStr">
        <is>
          <t>已完工</t>
        </is>
      </c>
      <c r="N269" s="5" t="inlineStr">
        <is>
          <t>L3</t>
        </is>
      </c>
      <c r="O269" s="5" t="inlineStr">
        <is>
          <t>https://www.fshouse.com.tw/page/about/index.aspx?kind=430&amp;lang=TW</t>
        </is>
      </c>
    </row>
    <row r="270">
      <c r="A270" s="5" t="n">
        <v>269</v>
      </c>
      <c r="B270" s="5" t="inlineStr">
        <is>
          <t>臺中市</t>
        </is>
      </c>
      <c r="C270" s="5" t="inlineStr">
        <is>
          <t>A21004</t>
        </is>
      </c>
      <c r="D270" s="5" t="inlineStr">
        <is>
          <t>taichung</t>
        </is>
      </c>
      <c r="E270" s="5" t="inlineStr">
        <is>
          <t>太平公辦重劃</t>
        </is>
      </c>
      <c r="F270" s="5" t="inlineStr">
        <is>
          <t>公辦市地重劃</t>
        </is>
      </c>
      <c r="G270" s="5" t="inlineStr">
        <is>
          <t>豐閱翰林院</t>
        </is>
      </c>
      <c r="H270" s="5" t="inlineStr">
        <is>
          <t>豐漢建設</t>
        </is>
      </c>
      <c r="I270" s="5" t="inlineStr"/>
      <c r="J270" s="5" t="inlineStr"/>
      <c r="K270" s="5" t="inlineStr"/>
      <c r="L270" s="5" t="inlineStr"/>
      <c r="M270" s="5" t="inlineStr">
        <is>
          <t>已完銷</t>
        </is>
      </c>
      <c r="N270" s="5" t="inlineStr">
        <is>
          <t>L3</t>
        </is>
      </c>
      <c r="O270" s="5" t="inlineStr">
        <is>
          <t>https://knowhouse.tw/4195</t>
        </is>
      </c>
    </row>
    <row r="271">
      <c r="A271" s="5" t="n">
        <v>270</v>
      </c>
      <c r="B271" s="5" t="inlineStr">
        <is>
          <t>臺中市</t>
        </is>
      </c>
      <c r="C271" s="5" t="inlineStr">
        <is>
          <t>A21004</t>
        </is>
      </c>
      <c r="D271" s="5" t="inlineStr">
        <is>
          <t>taichung</t>
        </is>
      </c>
      <c r="E271" s="5" t="inlineStr">
        <is>
          <t>太平公辦重劃</t>
        </is>
      </c>
      <c r="F271" s="5" t="inlineStr">
        <is>
          <t>公辦市地重劃</t>
        </is>
      </c>
      <c r="G271" s="5" t="inlineStr">
        <is>
          <t>豐築</t>
        </is>
      </c>
      <c r="H271" s="5" t="inlineStr">
        <is>
          <t>盛築建設</t>
        </is>
      </c>
      <c r="I271" s="5" t="inlineStr"/>
      <c r="J271" s="5" t="inlineStr"/>
      <c r="K271" s="5" t="inlineStr"/>
      <c r="L271" s="5" t="inlineStr"/>
      <c r="M271" s="5" t="inlineStr">
        <is>
          <t>已完銷</t>
        </is>
      </c>
      <c r="N271" s="5" t="inlineStr">
        <is>
          <t>L3</t>
        </is>
      </c>
      <c r="O271" s="5" t="inlineStr">
        <is>
          <t>https://knowhouse.tw/3760</t>
        </is>
      </c>
    </row>
    <row r="272">
      <c r="A272" s="5" t="n">
        <v>271</v>
      </c>
      <c r="B272" s="5" t="inlineStr">
        <is>
          <t>臺中市</t>
        </is>
      </c>
      <c r="C272" s="5" t="inlineStr">
        <is>
          <t>A21004</t>
        </is>
      </c>
      <c r="D272" s="5" t="inlineStr">
        <is>
          <t>taichung</t>
        </is>
      </c>
      <c r="E272" s="5" t="inlineStr">
        <is>
          <t>太平公辦重劃</t>
        </is>
      </c>
      <c r="F272" s="5" t="inlineStr">
        <is>
          <t>公辦市地重劃</t>
        </is>
      </c>
      <c r="G272" s="5" t="inlineStr">
        <is>
          <t>鉅虹曙光之旅2</t>
        </is>
      </c>
      <c r="H272" s="5" t="inlineStr">
        <is>
          <t>鉅本建設</t>
        </is>
      </c>
      <c r="I272" s="5" t="inlineStr"/>
      <c r="J272" s="5" t="inlineStr"/>
      <c r="K272" s="5" t="inlineStr"/>
      <c r="L272" s="5" t="inlineStr"/>
      <c r="M272" s="5" t="inlineStr"/>
      <c r="N272" s="5" t="inlineStr">
        <is>
          <t>L3</t>
        </is>
      </c>
      <c r="O272" s="5" t="inlineStr">
        <is>
          <t>https://taichung.housetube.tw/20244</t>
        </is>
      </c>
    </row>
    <row r="273">
      <c r="A273" s="5" t="n">
        <v>272</v>
      </c>
      <c r="B273" s="5" t="inlineStr">
        <is>
          <t>臺中市</t>
        </is>
      </c>
      <c r="C273" s="5" t="inlineStr">
        <is>
          <t>A21004</t>
        </is>
      </c>
      <c r="D273" s="5" t="inlineStr">
        <is>
          <t>taichung</t>
        </is>
      </c>
      <c r="E273" s="5" t="inlineStr">
        <is>
          <t>太平公辦重劃</t>
        </is>
      </c>
      <c r="F273" s="5" t="inlineStr">
        <is>
          <t>公辦市地重劃</t>
        </is>
      </c>
      <c r="G273" s="5" t="inlineStr">
        <is>
          <t>勝美欣</t>
        </is>
      </c>
      <c r="H273" s="5" t="inlineStr">
        <is>
          <t>勝美建設</t>
        </is>
      </c>
      <c r="I273" s="5" t="inlineStr"/>
      <c r="J273" s="5" t="inlineStr"/>
      <c r="K273" s="5" t="inlineStr"/>
      <c r="L273" s="5" t="inlineStr"/>
      <c r="M273" s="5" t="inlineStr">
        <is>
          <t>交屋中</t>
        </is>
      </c>
      <c r="N273" s="5" t="inlineStr">
        <is>
          <t>L3</t>
        </is>
      </c>
      <c r="O273" s="5" t="inlineStr">
        <is>
          <t>https://buy.yungching.com.tw/house/6665080</t>
        </is>
      </c>
    </row>
    <row r="274">
      <c r="A274" s="5" t="n">
        <v>273</v>
      </c>
      <c r="B274" s="5" t="inlineStr">
        <is>
          <t>臺中市</t>
        </is>
      </c>
      <c r="C274" s="5" t="inlineStr">
        <is>
          <t>A21004</t>
        </is>
      </c>
      <c r="D274" s="5" t="inlineStr">
        <is>
          <t>taichung</t>
        </is>
      </c>
      <c r="E274" s="5" t="inlineStr">
        <is>
          <t>太平公辦重劃</t>
        </is>
      </c>
      <c r="F274" s="5" t="inlineStr">
        <is>
          <t>公辦市地重劃</t>
        </is>
      </c>
      <c r="G274" s="5" t="inlineStr">
        <is>
          <t>品三硯</t>
        </is>
      </c>
      <c r="H274" s="5" t="inlineStr">
        <is>
          <t>威富建設</t>
        </is>
      </c>
      <c r="I274" s="5" t="inlineStr"/>
      <c r="J274" s="5" t="inlineStr"/>
      <c r="K274" s="5" t="inlineStr"/>
      <c r="L274" s="5" t="inlineStr"/>
      <c r="M274" s="5" t="inlineStr"/>
      <c r="N274" s="5" t="inlineStr">
        <is>
          <t>L3</t>
        </is>
      </c>
      <c r="O274" s="5" t="inlineStr">
        <is>
          <t>https://taichung.housetube.tw/37424</t>
        </is>
      </c>
    </row>
    <row r="275">
      <c r="A275" s="5" t="n">
        <v>274</v>
      </c>
      <c r="B275" s="5" t="inlineStr">
        <is>
          <t>臺中市</t>
        </is>
      </c>
      <c r="C275" s="5" t="inlineStr">
        <is>
          <t>A21004</t>
        </is>
      </c>
      <c r="D275" s="5" t="inlineStr">
        <is>
          <t>taichung</t>
        </is>
      </c>
      <c r="E275" s="5" t="inlineStr">
        <is>
          <t>烏日公辦重劃</t>
        </is>
      </c>
      <c r="F275" s="5" t="inlineStr">
        <is>
          <t>公辦市地重劃</t>
        </is>
      </c>
      <c r="G275" s="5" t="inlineStr">
        <is>
          <t>和築青風</t>
        </is>
      </c>
      <c r="H275" s="5" t="inlineStr">
        <is>
          <t>和築建設</t>
        </is>
      </c>
      <c r="I275" s="5" t="inlineStr"/>
      <c r="J275" s="5" t="inlineStr"/>
      <c r="K275" s="5" t="inlineStr"/>
      <c r="L275" s="5" t="inlineStr"/>
      <c r="M275" s="5" t="inlineStr"/>
      <c r="N275" s="5" t="inlineStr">
        <is>
          <t>L3</t>
        </is>
      </c>
      <c r="O275" s="5" t="inlineStr">
        <is>
          <t>https://knowhouse.tw/3013</t>
        </is>
      </c>
    </row>
    <row r="276">
      <c r="A276" s="5" t="n">
        <v>275</v>
      </c>
      <c r="B276" s="5" t="inlineStr">
        <is>
          <t>臺中市</t>
        </is>
      </c>
      <c r="C276" s="5" t="inlineStr">
        <is>
          <t>A21004</t>
        </is>
      </c>
      <c r="D276" s="5" t="inlineStr">
        <is>
          <t>taichung</t>
        </is>
      </c>
      <c r="E276" s="5" t="inlineStr">
        <is>
          <t>烏日公辦重劃</t>
        </is>
      </c>
      <c r="F276" s="5" t="inlineStr">
        <is>
          <t>公辦市地重劃</t>
        </is>
      </c>
      <c r="G276" s="5" t="inlineStr">
        <is>
          <t>高鐵青田</t>
        </is>
      </c>
      <c r="H276" s="5" t="inlineStr">
        <is>
          <t>興筑建設</t>
        </is>
      </c>
      <c r="I276" s="5" t="inlineStr"/>
      <c r="J276" s="5" t="inlineStr"/>
      <c r="K276" s="5" t="inlineStr"/>
      <c r="L276" s="5" t="inlineStr"/>
      <c r="M276" s="5" t="inlineStr"/>
      <c r="N276" s="5" t="inlineStr">
        <is>
          <t>L3</t>
        </is>
      </c>
      <c r="O276" s="5" t="inlineStr">
        <is>
          <t>https://knowhouse.tw/2188</t>
        </is>
      </c>
    </row>
    <row r="277">
      <c r="A277" s="5" t="n">
        <v>276</v>
      </c>
      <c r="B277" s="5" t="inlineStr">
        <is>
          <t>臺中市</t>
        </is>
      </c>
      <c r="C277" s="5" t="inlineStr">
        <is>
          <t>A21004</t>
        </is>
      </c>
      <c r="D277" s="5" t="inlineStr">
        <is>
          <t>taichung</t>
        </is>
      </c>
      <c r="E277" s="5" t="inlineStr">
        <is>
          <t>烏日公辦重劃</t>
        </is>
      </c>
      <c r="F277" s="5" t="inlineStr">
        <is>
          <t>公辦市地重劃</t>
        </is>
      </c>
      <c r="G277" s="5" t="inlineStr">
        <is>
          <t>微笑世界</t>
        </is>
      </c>
      <c r="H277" s="5" t="inlineStr">
        <is>
          <t>麗寶/建義建設</t>
        </is>
      </c>
      <c r="I277" s="5" t="inlineStr"/>
      <c r="J277" s="5" t="inlineStr"/>
      <c r="K277" s="5" t="inlineStr"/>
      <c r="L277" s="5" t="inlineStr"/>
      <c r="M277" s="5" t="inlineStr"/>
      <c r="N277" s="5" t="inlineStr">
        <is>
          <t>L3</t>
        </is>
      </c>
      <c r="O277" s="5" t="inlineStr">
        <is>
          <t>https://www.knowhouse.tw/4214</t>
        </is>
      </c>
    </row>
    <row r="278">
      <c r="A278" s="5" t="n">
        <v>277</v>
      </c>
      <c r="B278" s="5" t="inlineStr">
        <is>
          <t>臺中市</t>
        </is>
      </c>
      <c r="C278" s="5" t="inlineStr">
        <is>
          <t>A21004</t>
        </is>
      </c>
      <c r="D278" s="5" t="inlineStr">
        <is>
          <t>taichung</t>
        </is>
      </c>
      <c r="E278" s="5" t="inlineStr">
        <is>
          <t>烏日公辦重劃</t>
        </is>
      </c>
      <c r="F278" s="5" t="inlineStr">
        <is>
          <t>公辦市地重劃</t>
        </is>
      </c>
      <c r="G278" s="5" t="inlineStr">
        <is>
          <t>富都灣</t>
        </is>
      </c>
      <c r="H278" s="5" t="inlineStr">
        <is>
          <t>和峻建設</t>
        </is>
      </c>
      <c r="I278" s="5" t="inlineStr"/>
      <c r="J278" s="5" t="inlineStr"/>
      <c r="K278" s="5" t="inlineStr">
        <is>
          <t>18-19萬/坪</t>
        </is>
      </c>
      <c r="L278" s="5" t="inlineStr"/>
      <c r="M278" s="5" t="inlineStr">
        <is>
          <t>已完銷</t>
        </is>
      </c>
      <c r="N278" s="5" t="inlineStr">
        <is>
          <t>L3</t>
        </is>
      </c>
      <c r="O278" s="5" t="inlineStr">
        <is>
          <t>https://knowhouse.tw/1641</t>
        </is>
      </c>
    </row>
    <row r="279">
      <c r="A279" s="5" t="n">
        <v>278</v>
      </c>
      <c r="B279" s="5" t="inlineStr">
        <is>
          <t>臺中市</t>
        </is>
      </c>
      <c r="C279" s="5" t="inlineStr">
        <is>
          <t>A21004</t>
        </is>
      </c>
      <c r="D279" s="5" t="inlineStr">
        <is>
          <t>taichung</t>
        </is>
      </c>
      <c r="E279" s="5" t="inlineStr">
        <is>
          <t>烏日公辦重劃</t>
        </is>
      </c>
      <c r="F279" s="5" t="inlineStr">
        <is>
          <t>公辦市地重劃</t>
        </is>
      </c>
      <c r="G279" s="5" t="inlineStr">
        <is>
          <t>巨陽森昇活</t>
        </is>
      </c>
      <c r="H279" s="5" t="inlineStr">
        <is>
          <t>巨陽建設</t>
        </is>
      </c>
      <c r="I279" s="5" t="inlineStr">
        <is>
          <t>112戶</t>
        </is>
      </c>
      <c r="J279" s="5" t="inlineStr"/>
      <c r="K279" s="5" t="inlineStr"/>
      <c r="L279" s="5" t="inlineStr"/>
      <c r="M279" s="5" t="inlineStr">
        <is>
          <t>預售</t>
        </is>
      </c>
      <c r="N279" s="5" t="inlineStr">
        <is>
          <t>L3</t>
        </is>
      </c>
      <c r="O279" s="5" t="inlineStr">
        <is>
          <t>https://94m.com.tw/articles/40a4a7</t>
        </is>
      </c>
    </row>
    <row r="280">
      <c r="A280" s="5" t="n">
        <v>279</v>
      </c>
      <c r="B280" s="5" t="inlineStr">
        <is>
          <t>臺中市</t>
        </is>
      </c>
      <c r="C280" s="5" t="inlineStr">
        <is>
          <t>A21004</t>
        </is>
      </c>
      <c r="D280" s="5" t="inlineStr">
        <is>
          <t>taichung</t>
        </is>
      </c>
      <c r="E280" s="5" t="inlineStr">
        <is>
          <t>烏日公辦重劃</t>
        </is>
      </c>
      <c r="F280" s="5" t="inlineStr">
        <is>
          <t>公辦市地重劃</t>
        </is>
      </c>
      <c r="G280" s="5" t="inlineStr">
        <is>
          <t>RIVER ONE(世界之翼)</t>
        </is>
      </c>
      <c r="H280" s="5" t="inlineStr">
        <is>
          <t>富旺國際</t>
        </is>
      </c>
      <c r="I280" s="5" t="inlineStr"/>
      <c r="J280" s="5" t="inlineStr"/>
      <c r="K280" s="5" t="inlineStr"/>
      <c r="L280" s="5" t="inlineStr"/>
      <c r="M280" s="5" t="inlineStr"/>
      <c r="N280" s="5" t="inlineStr">
        <is>
          <t>L3</t>
        </is>
      </c>
      <c r="O280" s="5" t="inlineStr">
        <is>
          <t>https://taichung.housetube.tw/22134</t>
        </is>
      </c>
    </row>
    <row r="281">
      <c r="A281" s="5" t="n">
        <v>280</v>
      </c>
      <c r="B281" s="5" t="inlineStr">
        <is>
          <t>臺中市</t>
        </is>
      </c>
      <c r="C281" s="5" t="inlineStr">
        <is>
          <t>A21004</t>
        </is>
      </c>
      <c r="D281" s="5" t="inlineStr">
        <is>
          <t>taichung</t>
        </is>
      </c>
      <c r="E281" s="5" t="inlineStr">
        <is>
          <t>霧峰公辦重劃</t>
        </is>
      </c>
      <c r="F281" s="5" t="inlineStr">
        <is>
          <t>公辦市地重劃</t>
        </is>
      </c>
      <c r="G281" s="5" t="inlineStr">
        <is>
          <t>侑信寓見未來</t>
        </is>
      </c>
      <c r="H281" s="5" t="inlineStr">
        <is>
          <t>侑信建設</t>
        </is>
      </c>
      <c r="I281" s="5" t="inlineStr">
        <is>
          <t>107戶</t>
        </is>
      </c>
      <c r="J281" s="5" t="inlineStr">
        <is>
          <t>17.7-38坪</t>
        </is>
      </c>
      <c r="K281" s="5" t="inlineStr">
        <is>
          <t>34.3萬/坪</t>
        </is>
      </c>
      <c r="L281" s="5" t="inlineStr"/>
      <c r="M281" s="5" t="inlineStr">
        <is>
          <t>已完工</t>
        </is>
      </c>
      <c r="N281" s="5" t="inlineStr">
        <is>
          <t>L3</t>
        </is>
      </c>
      <c r="O281" s="5" t="inlineStr">
        <is>
          <t>https://community.houseprice.tw/building/140650/</t>
        </is>
      </c>
    </row>
    <row r="282">
      <c r="A282" s="5" t="n">
        <v>281</v>
      </c>
      <c r="B282" s="5" t="inlineStr">
        <is>
          <t>臺中市</t>
        </is>
      </c>
      <c r="C282" s="5" t="inlineStr">
        <is>
          <t>A21004</t>
        </is>
      </c>
      <c r="D282" s="5" t="inlineStr">
        <is>
          <t>taichung</t>
        </is>
      </c>
      <c r="E282" s="5" t="inlineStr">
        <is>
          <t>霧峰公辦重劃</t>
        </is>
      </c>
      <c r="F282" s="5" t="inlineStr">
        <is>
          <t>公辦市地重劃</t>
        </is>
      </c>
      <c r="G282" s="5" t="inlineStr">
        <is>
          <t>亞洲學苑</t>
        </is>
      </c>
      <c r="H282" s="5" t="inlineStr">
        <is>
          <t>鼎川建設</t>
        </is>
      </c>
      <c r="I282" s="5" t="inlineStr"/>
      <c r="J282" s="5" t="inlineStr">
        <is>
          <t>23-45坪</t>
        </is>
      </c>
      <c r="K282" s="5" t="inlineStr"/>
      <c r="L282" s="5" t="inlineStr"/>
      <c r="M282" s="5" t="inlineStr"/>
      <c r="N282" s="5" t="inlineStr">
        <is>
          <t>L3</t>
        </is>
      </c>
      <c r="O282" s="5" t="inlineStr">
        <is>
          <t>https://taichung.housetube.tw/19313</t>
        </is>
      </c>
    </row>
    <row r="283">
      <c r="A283" s="5" t="n">
        <v>282</v>
      </c>
      <c r="B283" s="5" t="inlineStr">
        <is>
          <t>臺中市</t>
        </is>
      </c>
      <c r="C283" s="5" t="inlineStr">
        <is>
          <t>A21004</t>
        </is>
      </c>
      <c r="D283" s="5" t="inlineStr">
        <is>
          <t>taichung</t>
        </is>
      </c>
      <c r="E283" s="5" t="inlineStr">
        <is>
          <t>霧峰公辦重劃</t>
        </is>
      </c>
      <c r="F283" s="5" t="inlineStr">
        <is>
          <t>公辦市地重劃</t>
        </is>
      </c>
      <c r="G283" s="5" t="inlineStr">
        <is>
          <t>山水日出</t>
        </is>
      </c>
      <c r="H283" s="5" t="inlineStr">
        <is>
          <t>君鑑機構</t>
        </is>
      </c>
      <c r="I283" s="5" t="inlineStr"/>
      <c r="J283" s="5" t="inlineStr">
        <is>
          <t>25坪起</t>
        </is>
      </c>
      <c r="K283" s="5" t="inlineStr"/>
      <c r="L283" s="5" t="inlineStr"/>
      <c r="M283" s="5" t="inlineStr"/>
      <c r="N283" s="5" t="inlineStr">
        <is>
          <t>L3</t>
        </is>
      </c>
      <c r="O283" s="5" t="inlineStr">
        <is>
          <t>https://taichung.housetube.tw/21685</t>
        </is>
      </c>
    </row>
    <row r="284">
      <c r="A284" s="5" t="n">
        <v>283</v>
      </c>
      <c r="B284" s="5" t="inlineStr">
        <is>
          <t>臺中市</t>
        </is>
      </c>
      <c r="C284" s="5" t="inlineStr">
        <is>
          <t>A21004</t>
        </is>
      </c>
      <c r="D284" s="5" t="inlineStr">
        <is>
          <t>taichung</t>
        </is>
      </c>
      <c r="E284" s="5" t="inlineStr">
        <is>
          <t>霧峰公辦重劃</t>
        </is>
      </c>
      <c r="F284" s="5" t="inlineStr">
        <is>
          <t>公辦市地重劃</t>
        </is>
      </c>
      <c r="G284" s="5" t="inlineStr">
        <is>
          <t>傳世一期</t>
        </is>
      </c>
      <c r="H284" s="5" t="inlineStr">
        <is>
          <t>金祥正建設</t>
        </is>
      </c>
      <c r="I284" s="5" t="inlineStr">
        <is>
          <t>4戶</t>
        </is>
      </c>
      <c r="J284" s="5" t="inlineStr"/>
      <c r="K284" s="5" t="inlineStr"/>
      <c r="L284" s="5" t="inlineStr"/>
      <c r="M284" s="5" t="inlineStr"/>
      <c r="N284" s="5" t="inlineStr">
        <is>
          <t>L3</t>
        </is>
      </c>
      <c r="O284" s="5" t="inlineStr">
        <is>
          <t>https://taichung.housetube.tw/24487</t>
        </is>
      </c>
    </row>
    <row r="285">
      <c r="A285" s="5" t="n">
        <v>284</v>
      </c>
      <c r="B285" s="5" t="inlineStr">
        <is>
          <t>臺中市</t>
        </is>
      </c>
      <c r="C285" s="5" t="inlineStr">
        <is>
          <t>A21004</t>
        </is>
      </c>
      <c r="D285" s="5" t="inlineStr">
        <is>
          <t>taichung</t>
        </is>
      </c>
      <c r="E285" s="5" t="inlineStr">
        <is>
          <t>沙鹿公辦重劃</t>
        </is>
      </c>
      <c r="F285" s="5" t="inlineStr">
        <is>
          <t>公辦市地重劃</t>
        </is>
      </c>
      <c r="G285" s="5" t="inlineStr">
        <is>
          <t>靜宜大街</t>
        </is>
      </c>
      <c r="H285" s="5" t="inlineStr">
        <is>
          <t>德邑建設</t>
        </is>
      </c>
      <c r="I285" s="5" t="inlineStr"/>
      <c r="J285" s="5" t="inlineStr">
        <is>
          <t>64坪起(建坪)</t>
        </is>
      </c>
      <c r="K285" s="5" t="inlineStr"/>
      <c r="L285" s="5" t="inlineStr"/>
      <c r="M285" s="5" t="inlineStr"/>
      <c r="N285" s="5" t="inlineStr">
        <is>
          <t>L3</t>
        </is>
      </c>
      <c r="O285" s="5" t="inlineStr">
        <is>
          <t>https://taichung.housetube.tw/17086</t>
        </is>
      </c>
    </row>
    <row r="286">
      <c r="A286" s="5" t="n">
        <v>285</v>
      </c>
      <c r="B286" s="5" t="inlineStr">
        <is>
          <t>臺中市</t>
        </is>
      </c>
      <c r="C286" s="5" t="inlineStr">
        <is>
          <t>A21004</t>
        </is>
      </c>
      <c r="D286" s="5" t="inlineStr">
        <is>
          <t>taichung</t>
        </is>
      </c>
      <c r="E286" s="5" t="inlineStr">
        <is>
          <t>沙鹿公辦重劃</t>
        </is>
      </c>
      <c r="F286" s="5" t="inlineStr">
        <is>
          <t>公辦市地重劃</t>
        </is>
      </c>
      <c r="G286" s="5" t="inlineStr">
        <is>
          <t>安城市</t>
        </is>
      </c>
      <c r="H286" s="5" t="inlineStr">
        <is>
          <t>宜新建設</t>
        </is>
      </c>
      <c r="I286" s="5" t="inlineStr"/>
      <c r="J286" s="5" t="inlineStr">
        <is>
          <t>23.93-30.21坪</t>
        </is>
      </c>
      <c r="K286" s="5" t="inlineStr"/>
      <c r="L286" s="5" t="inlineStr"/>
      <c r="M286" s="5" t="inlineStr">
        <is>
          <t>興建中</t>
        </is>
      </c>
      <c r="N286" s="5" t="inlineStr">
        <is>
          <t>L3</t>
        </is>
      </c>
      <c r="O286" s="5" t="inlineStr">
        <is>
          <t>https://knowhouse.tw/4682</t>
        </is>
      </c>
    </row>
    <row r="287">
      <c r="A287" s="5" t="n">
        <v>286</v>
      </c>
      <c r="B287" s="5" t="inlineStr">
        <is>
          <t>臺中市</t>
        </is>
      </c>
      <c r="C287" s="5" t="inlineStr">
        <is>
          <t>A21004</t>
        </is>
      </c>
      <c r="D287" s="5" t="inlineStr">
        <is>
          <t>taichung</t>
        </is>
      </c>
      <c r="E287" s="5" t="inlineStr">
        <is>
          <t>沙鹿公辦重劃</t>
        </is>
      </c>
      <c r="F287" s="5" t="inlineStr">
        <is>
          <t>公辦市地重劃</t>
        </is>
      </c>
      <c r="G287" s="5" t="inlineStr">
        <is>
          <t>德光聚</t>
        </is>
      </c>
      <c r="H287" s="5" t="inlineStr">
        <is>
          <t>德光建設</t>
        </is>
      </c>
      <c r="I287" s="5" t="inlineStr"/>
      <c r="J287" s="5" t="inlineStr"/>
      <c r="K287" s="5" t="inlineStr"/>
      <c r="L287" s="5" t="inlineStr"/>
      <c r="M287" s="5" t="inlineStr"/>
      <c r="N287" s="5" t="inlineStr">
        <is>
          <t>L3</t>
        </is>
      </c>
      <c r="O287" s="5" t="inlineStr">
        <is>
          <t>https://knowhouse.tw/4868</t>
        </is>
      </c>
    </row>
    <row r="288">
      <c r="A288" s="5" t="n">
        <v>287</v>
      </c>
      <c r="B288" s="5" t="inlineStr">
        <is>
          <t>臺中市</t>
        </is>
      </c>
      <c r="C288" s="5" t="inlineStr">
        <is>
          <t>A21004</t>
        </is>
      </c>
      <c r="D288" s="5" t="inlineStr">
        <is>
          <t>taichung</t>
        </is>
      </c>
      <c r="E288" s="5" t="inlineStr">
        <is>
          <t>沙鹿公辦重劃</t>
        </is>
      </c>
      <c r="F288" s="5" t="inlineStr">
        <is>
          <t>公辦市地重劃</t>
        </is>
      </c>
      <c r="G288" s="5" t="inlineStr">
        <is>
          <t>坤悅沐光邸</t>
        </is>
      </c>
      <c r="H288" s="5" t="inlineStr">
        <is>
          <t>坤悅開發</t>
        </is>
      </c>
      <c r="I288" s="5" t="inlineStr"/>
      <c r="J288" s="5" t="inlineStr"/>
      <c r="K288" s="5" t="inlineStr"/>
      <c r="L288" s="5" t="inlineStr"/>
      <c r="M288" s="5" t="inlineStr">
        <is>
          <t>預售</t>
        </is>
      </c>
      <c r="N288" s="5" t="inlineStr">
        <is>
          <t>L3</t>
        </is>
      </c>
      <c r="O288" s="5" t="inlineStr">
        <is>
          <t>https://taichung.housetube.tw/49174</t>
        </is>
      </c>
    </row>
    <row r="289">
      <c r="A289" s="5" t="n">
        <v>288</v>
      </c>
      <c r="B289" s="5" t="inlineStr">
        <is>
          <t>臺中市</t>
        </is>
      </c>
      <c r="C289" s="5" t="inlineStr">
        <is>
          <t>A21004</t>
        </is>
      </c>
      <c r="D289" s="5" t="inlineStr">
        <is>
          <t>taichung</t>
        </is>
      </c>
      <c r="E289" s="5" t="inlineStr">
        <is>
          <t>豐原公辦重劃</t>
        </is>
      </c>
      <c r="F289" s="5" t="inlineStr">
        <is>
          <t>公辦市地重劃</t>
        </is>
      </c>
      <c r="G289" s="5" t="inlineStr">
        <is>
          <t>喆園2</t>
        </is>
      </c>
      <c r="H289" s="5" t="inlineStr">
        <is>
          <t>總誼建設</t>
        </is>
      </c>
      <c r="I289" s="5" t="inlineStr"/>
      <c r="J289" s="5" t="inlineStr">
        <is>
          <t>20.5-34坪</t>
        </is>
      </c>
      <c r="K289" s="5" t="inlineStr"/>
      <c r="L289" s="5" t="inlineStr"/>
      <c r="M289" s="5" t="inlineStr"/>
      <c r="N289" s="5" t="inlineStr">
        <is>
          <t>L3</t>
        </is>
      </c>
      <c r="O289" s="5" t="inlineStr">
        <is>
          <t>https://taichung.housetube.tw/34187</t>
        </is>
      </c>
    </row>
    <row r="290">
      <c r="A290" s="5" t="n">
        <v>289</v>
      </c>
      <c r="B290" s="5" t="inlineStr">
        <is>
          <t>臺中市</t>
        </is>
      </c>
      <c r="C290" s="5" t="inlineStr">
        <is>
          <t>A21004</t>
        </is>
      </c>
      <c r="D290" s="5" t="inlineStr">
        <is>
          <t>taichung</t>
        </is>
      </c>
      <c r="E290" s="5" t="inlineStr">
        <is>
          <t>豐原公辦重劃</t>
        </is>
      </c>
      <c r="F290" s="5" t="inlineStr">
        <is>
          <t>公辦市地重劃</t>
        </is>
      </c>
      <c r="G290" s="5" t="inlineStr">
        <is>
          <t>映豐青</t>
        </is>
      </c>
      <c r="H290" s="5" t="inlineStr">
        <is>
          <t>檸檬樹建設</t>
        </is>
      </c>
      <c r="I290" s="5" t="inlineStr">
        <is>
          <t>26戶</t>
        </is>
      </c>
      <c r="J290" s="5" t="inlineStr">
        <is>
          <t>23-41坪</t>
        </is>
      </c>
      <c r="K290" s="5" t="inlineStr">
        <is>
          <t>39.6萬/坪</t>
        </is>
      </c>
      <c r="L290" s="5" t="inlineStr"/>
      <c r="M290" s="5" t="inlineStr">
        <is>
          <t>新成屋</t>
        </is>
      </c>
      <c r="N290" s="5" t="inlineStr">
        <is>
          <t>L3</t>
        </is>
      </c>
      <c r="O290" s="5" t="inlineStr">
        <is>
          <t>https://taichung.housetube.tw/47555</t>
        </is>
      </c>
    </row>
    <row r="291">
      <c r="A291" s="5" t="n">
        <v>290</v>
      </c>
      <c r="B291" s="5" t="inlineStr">
        <is>
          <t>臺中市</t>
        </is>
      </c>
      <c r="C291" s="5" t="inlineStr">
        <is>
          <t>A21004</t>
        </is>
      </c>
      <c r="D291" s="5" t="inlineStr">
        <is>
          <t>taichung</t>
        </is>
      </c>
      <c r="E291" s="5" t="inlineStr">
        <is>
          <t>豐原公辦重劃</t>
        </is>
      </c>
      <c r="F291" s="5" t="inlineStr">
        <is>
          <t>公辦市地重劃</t>
        </is>
      </c>
      <c r="G291" s="5" t="inlineStr">
        <is>
          <t>久樘宸陽</t>
        </is>
      </c>
      <c r="H291" s="5" t="inlineStr">
        <is>
          <t>久樘開發</t>
        </is>
      </c>
      <c r="I291" s="5" t="inlineStr"/>
      <c r="J291" s="5" t="inlineStr">
        <is>
          <t>36-45坪</t>
        </is>
      </c>
      <c r="K291" s="5" t="inlineStr"/>
      <c r="L291" s="5" t="inlineStr"/>
      <c r="M291" s="5" t="inlineStr"/>
      <c r="N291" s="5" t="inlineStr">
        <is>
          <t>L3</t>
        </is>
      </c>
      <c r="O291" s="5" t="inlineStr">
        <is>
          <t>https://taichung.housetube.tw/38984</t>
        </is>
      </c>
    </row>
    <row r="292">
      <c r="A292" s="5" t="n">
        <v>291</v>
      </c>
      <c r="B292" s="5" t="inlineStr">
        <is>
          <t>臺中市</t>
        </is>
      </c>
      <c r="C292" s="5" t="inlineStr">
        <is>
          <t>A21004</t>
        </is>
      </c>
      <c r="D292" s="5" t="inlineStr">
        <is>
          <t>taichung</t>
        </is>
      </c>
      <c r="E292" s="5" t="inlineStr">
        <is>
          <t>豐原公辦重劃</t>
        </is>
      </c>
      <c r="F292" s="5" t="inlineStr">
        <is>
          <t>公辦市地重劃</t>
        </is>
      </c>
      <c r="G292" s="5" t="inlineStr">
        <is>
          <t>勝美豐原</t>
        </is>
      </c>
      <c r="H292" s="5" t="inlineStr">
        <is>
          <t>勝美建設</t>
        </is>
      </c>
      <c r="I292" s="5" t="inlineStr"/>
      <c r="J292" s="5" t="inlineStr">
        <is>
          <t>25-43坪</t>
        </is>
      </c>
      <c r="K292" s="5" t="inlineStr"/>
      <c r="L292" s="5" t="inlineStr"/>
      <c r="M292" s="5" t="inlineStr">
        <is>
          <t>預售</t>
        </is>
      </c>
      <c r="N292" s="5" t="inlineStr">
        <is>
          <t>L3</t>
        </is>
      </c>
      <c r="O292" s="5" t="inlineStr">
        <is>
          <t>https://nhc.tw/classic_detail.php?id=62</t>
        </is>
      </c>
    </row>
    <row r="293">
      <c r="A293" s="5" t="n">
        <v>292</v>
      </c>
      <c r="B293" s="5" t="inlineStr">
        <is>
          <t>臺中市</t>
        </is>
      </c>
      <c r="C293" s="5" t="inlineStr">
        <is>
          <t>A21004</t>
        </is>
      </c>
      <c r="D293" s="5" t="inlineStr">
        <is>
          <t>taichung</t>
        </is>
      </c>
      <c r="E293" s="5" t="inlineStr">
        <is>
          <t>豐原公辦重劃</t>
        </is>
      </c>
      <c r="F293" s="5" t="inlineStr">
        <is>
          <t>公辦市地重劃</t>
        </is>
      </c>
      <c r="G293" s="5" t="inlineStr">
        <is>
          <t>紀凡希</t>
        </is>
      </c>
      <c r="H293" s="5" t="inlineStr">
        <is>
          <t>昂峰建設</t>
        </is>
      </c>
      <c r="I293" s="5" t="inlineStr">
        <is>
          <t>101戶</t>
        </is>
      </c>
      <c r="J293" s="5" t="inlineStr">
        <is>
          <t>25-38坪</t>
        </is>
      </c>
      <c r="K293" s="5" t="inlineStr"/>
      <c r="L293" s="5" t="inlineStr"/>
      <c r="M293" s="5" t="inlineStr"/>
      <c r="N293" s="5" t="inlineStr">
        <is>
          <t>L3</t>
        </is>
      </c>
      <c r="O293" s="5" t="inlineStr">
        <is>
          <t>https://taichung.housetube.tw/27348</t>
        </is>
      </c>
    </row>
    <row r="294">
      <c r="A294" s="5" t="n">
        <v>293</v>
      </c>
      <c r="B294" s="5" t="inlineStr">
        <is>
          <t>臺中市</t>
        </is>
      </c>
      <c r="C294" s="5" t="inlineStr">
        <is>
          <t>A21004</t>
        </is>
      </c>
      <c r="D294" s="5" t="inlineStr">
        <is>
          <t>taichung</t>
        </is>
      </c>
      <c r="E294" s="5" t="inlineStr">
        <is>
          <t>大里自辦重劃</t>
        </is>
      </c>
      <c r="F294" s="5" t="inlineStr">
        <is>
          <t>自辦市地重劃</t>
        </is>
      </c>
      <c r="G294" s="5" t="inlineStr">
        <is>
          <t>允將康城</t>
        </is>
      </c>
      <c r="H294" s="5" t="inlineStr">
        <is>
          <t>允將建設</t>
        </is>
      </c>
      <c r="I294" s="5" t="inlineStr"/>
      <c r="J294" s="5" t="inlineStr"/>
      <c r="K294" s="5" t="inlineStr"/>
      <c r="L294" s="5" t="inlineStr"/>
      <c r="M294" s="5" t="inlineStr">
        <is>
          <t>銷售中</t>
        </is>
      </c>
      <c r="N294" s="5" t="inlineStr">
        <is>
          <t>L3</t>
        </is>
      </c>
      <c r="O294" s="5" t="inlineStr">
        <is>
          <t>https://m.591.com.tw/v2/news/article/459</t>
        </is>
      </c>
    </row>
    <row r="295">
      <c r="A295" s="5" t="n">
        <v>294</v>
      </c>
      <c r="B295" s="5" t="inlineStr">
        <is>
          <t>臺中市</t>
        </is>
      </c>
      <c r="C295" s="5" t="inlineStr">
        <is>
          <t>A21004</t>
        </is>
      </c>
      <c r="D295" s="5" t="inlineStr">
        <is>
          <t>taichung</t>
        </is>
      </c>
      <c r="E295" s="5" t="inlineStr">
        <is>
          <t>大雅自辦重劃</t>
        </is>
      </c>
      <c r="F295" s="5" t="inlineStr">
        <is>
          <t>自辦市地重劃</t>
        </is>
      </c>
      <c r="G295" s="5" t="inlineStr">
        <is>
          <t>宜園之青</t>
        </is>
      </c>
      <c r="H295" s="5" t="inlineStr">
        <is>
          <t>宜園建設</t>
        </is>
      </c>
      <c r="I295" s="5" t="inlineStr">
        <is>
          <t>57戶</t>
        </is>
      </c>
      <c r="J295" s="5" t="inlineStr">
        <is>
          <t>23.56-24.41坪</t>
        </is>
      </c>
      <c r="K295" s="5" t="inlineStr"/>
      <c r="L295" s="5" t="inlineStr">
        <is>
          <t>2026</t>
        </is>
      </c>
      <c r="M295" s="5" t="inlineStr">
        <is>
          <t>銷售中</t>
        </is>
      </c>
      <c r="N295" s="5" t="inlineStr">
        <is>
          <t>L3</t>
        </is>
      </c>
      <c r="O295" s="5" t="inlineStr">
        <is>
          <t>https://house.chinatimes.com/20260812000005-264401</t>
        </is>
      </c>
    </row>
    <row r="296">
      <c r="A296" s="5" t="n">
        <v>295</v>
      </c>
      <c r="B296" s="5" t="inlineStr">
        <is>
          <t>臺中市</t>
        </is>
      </c>
      <c r="C296" s="5" t="inlineStr">
        <is>
          <t>A21004</t>
        </is>
      </c>
      <c r="D296" s="5" t="inlineStr">
        <is>
          <t>taichung</t>
        </is>
      </c>
      <c r="E296" s="5" t="inlineStr">
        <is>
          <t>大雅自辦重劃</t>
        </is>
      </c>
      <c r="F296" s="5" t="inlineStr">
        <is>
          <t>自辦市地重劃</t>
        </is>
      </c>
      <c r="G296" s="5" t="inlineStr">
        <is>
          <t>惠國沐微風</t>
        </is>
      </c>
      <c r="H296" s="5" t="inlineStr">
        <is>
          <t>惠國建設</t>
        </is>
      </c>
      <c r="I296" s="5" t="inlineStr">
        <is>
          <t>88戶</t>
        </is>
      </c>
      <c r="J296" s="5" t="inlineStr"/>
      <c r="K296" s="5" t="inlineStr"/>
      <c r="L296" s="5" t="inlineStr"/>
      <c r="M296" s="5" t="inlineStr"/>
      <c r="N296" s="5" t="inlineStr">
        <is>
          <t>L3</t>
        </is>
      </c>
      <c r="O296" s="5" t="inlineStr">
        <is>
          <t>https://m.591.com.tw/v2/news/article/434</t>
        </is>
      </c>
    </row>
    <row r="297">
      <c r="A297" s="5" t="n">
        <v>296</v>
      </c>
      <c r="B297" s="5" t="inlineStr">
        <is>
          <t>臺中市</t>
        </is>
      </c>
      <c r="C297" s="5" t="inlineStr">
        <is>
          <t>A21004</t>
        </is>
      </c>
      <c r="D297" s="5" t="inlineStr">
        <is>
          <t>taichung</t>
        </is>
      </c>
      <c r="E297" s="5" t="inlineStr">
        <is>
          <t>水湳智慧城（區段徵收）</t>
        </is>
      </c>
      <c r="F297" s="5" t="inlineStr">
        <is>
          <t>區段徵收</t>
        </is>
      </c>
      <c r="G297" s="5" t="inlineStr">
        <is>
          <t>親家中央公園</t>
        </is>
      </c>
      <c r="H297" s="5" t="inlineStr">
        <is>
          <t>親家建設</t>
        </is>
      </c>
      <c r="I297" s="5" t="inlineStr">
        <is>
          <t>453戶</t>
        </is>
      </c>
      <c r="J297" s="5" t="inlineStr">
        <is>
          <t>17-26坪</t>
        </is>
      </c>
      <c r="K297" s="5" t="inlineStr"/>
      <c r="L297" s="5" t="inlineStr"/>
      <c r="M297" s="5" t="inlineStr">
        <is>
          <t>預售</t>
        </is>
      </c>
      <c r="N297" s="5" t="inlineStr">
        <is>
          <t>L3</t>
        </is>
      </c>
      <c r="O297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298">
      <c r="A298" s="5" t="n">
        <v>297</v>
      </c>
      <c r="B298" s="5" t="inlineStr">
        <is>
          <t>臺中市</t>
        </is>
      </c>
      <c r="C298" s="5" t="inlineStr">
        <is>
          <t>A21004</t>
        </is>
      </c>
      <c r="D298" s="5" t="inlineStr">
        <is>
          <t>taichung</t>
        </is>
      </c>
      <c r="E298" s="5" t="inlineStr">
        <is>
          <t>水湳智慧城（區段徵收）</t>
        </is>
      </c>
      <c r="F298" s="5" t="inlineStr">
        <is>
          <t>區段徵收</t>
        </is>
      </c>
      <c r="G298" s="5" t="inlineStr">
        <is>
          <t>豐邑PARK ONE</t>
        </is>
      </c>
      <c r="H298" s="5" t="inlineStr">
        <is>
          <t>豐邑建設</t>
        </is>
      </c>
      <c r="I298" s="5" t="inlineStr">
        <is>
          <t>188戶</t>
        </is>
      </c>
      <c r="J298" s="5" t="inlineStr">
        <is>
          <t>53-74坪</t>
        </is>
      </c>
      <c r="K298" s="5" t="inlineStr"/>
      <c r="L298" s="5" t="inlineStr"/>
      <c r="M298" s="5" t="inlineStr">
        <is>
          <t>預售</t>
        </is>
      </c>
      <c r="N298" s="5" t="inlineStr">
        <is>
          <t>L3</t>
        </is>
      </c>
      <c r="O298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299">
      <c r="A299" s="5" t="n">
        <v>298</v>
      </c>
      <c r="B299" s="5" t="inlineStr">
        <is>
          <t>臺中市</t>
        </is>
      </c>
      <c r="C299" s="5" t="inlineStr">
        <is>
          <t>A21004</t>
        </is>
      </c>
      <c r="D299" s="5" t="inlineStr">
        <is>
          <t>taichung</t>
        </is>
      </c>
      <c r="E299" s="5" t="inlineStr">
        <is>
          <t>水湳智慧城（區段徵收）</t>
        </is>
      </c>
      <c r="F299" s="5" t="inlineStr">
        <is>
          <t>區段徵收</t>
        </is>
      </c>
      <c r="G299" s="5" t="inlineStr">
        <is>
          <t>成真ComeTrue</t>
        </is>
      </c>
      <c r="H299" s="5" t="inlineStr">
        <is>
          <t>成真建設</t>
        </is>
      </c>
      <c r="I299" s="5" t="inlineStr">
        <is>
          <t>59戶</t>
        </is>
      </c>
      <c r="J299" s="5" t="inlineStr">
        <is>
          <t>32-46坪</t>
        </is>
      </c>
      <c r="K299" s="5" t="inlineStr">
        <is>
          <t>71.32萬/坪</t>
        </is>
      </c>
      <c r="L299" s="5" t="inlineStr"/>
      <c r="M299" s="5" t="inlineStr">
        <is>
          <t>預售</t>
        </is>
      </c>
      <c r="N299" s="5" t="inlineStr">
        <is>
          <t>L3</t>
        </is>
      </c>
      <c r="O299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0">
      <c r="A300" s="5" t="n">
        <v>299</v>
      </c>
      <c r="B300" s="5" t="inlineStr">
        <is>
          <t>臺中市</t>
        </is>
      </c>
      <c r="C300" s="5" t="inlineStr">
        <is>
          <t>A21004</t>
        </is>
      </c>
      <c r="D300" s="5" t="inlineStr">
        <is>
          <t>taichung</t>
        </is>
      </c>
      <c r="E300" s="5" t="inlineStr">
        <is>
          <t>水湳智慧城（區段徵收）</t>
        </is>
      </c>
      <c r="F300" s="5" t="inlineStr">
        <is>
          <t>區段徵收</t>
        </is>
      </c>
      <c r="G300" s="5" t="inlineStr">
        <is>
          <t>宏廈珩豐</t>
        </is>
      </c>
      <c r="H300" s="5" t="inlineStr">
        <is>
          <t>宏廈建設</t>
        </is>
      </c>
      <c r="I300" s="5" t="inlineStr">
        <is>
          <t>37戶</t>
        </is>
      </c>
      <c r="J300" s="5" t="inlineStr">
        <is>
          <t>23-35坪</t>
        </is>
      </c>
      <c r="K300" s="5" t="inlineStr"/>
      <c r="L300" s="5" t="inlineStr"/>
      <c r="M300" s="5" t="inlineStr">
        <is>
          <t>預售</t>
        </is>
      </c>
      <c r="N300" s="5" t="inlineStr">
        <is>
          <t>L3</t>
        </is>
      </c>
      <c r="O300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1">
      <c r="A301" s="5" t="n">
        <v>300</v>
      </c>
      <c r="B301" s="5" t="inlineStr">
        <is>
          <t>臺中市</t>
        </is>
      </c>
      <c r="C301" s="5" t="inlineStr">
        <is>
          <t>A21004</t>
        </is>
      </c>
      <c r="D301" s="5" t="inlineStr">
        <is>
          <t>taichung</t>
        </is>
      </c>
      <c r="E301" s="5" t="inlineStr">
        <is>
          <t>水湳智慧城（區段徵收）</t>
        </is>
      </c>
      <c r="F301" s="5" t="inlineStr">
        <is>
          <t>區段徵收</t>
        </is>
      </c>
      <c r="G301" s="5" t="inlineStr">
        <is>
          <t>聚碩仁玉</t>
        </is>
      </c>
      <c r="H301" s="5" t="inlineStr">
        <is>
          <t>聚碩建設</t>
        </is>
      </c>
      <c r="I301" s="5" t="inlineStr">
        <is>
          <t>40戶</t>
        </is>
      </c>
      <c r="J301" s="5" t="inlineStr">
        <is>
          <t>24坪</t>
        </is>
      </c>
      <c r="K301" s="5" t="inlineStr">
        <is>
          <t>67.7萬/坪</t>
        </is>
      </c>
      <c r="L301" s="5" t="inlineStr"/>
      <c r="M301" s="5" t="inlineStr">
        <is>
          <t>預售</t>
        </is>
      </c>
      <c r="N301" s="5" t="inlineStr">
        <is>
          <t>L3</t>
        </is>
      </c>
      <c r="O301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2">
      <c r="A302" s="5" t="n">
        <v>301</v>
      </c>
      <c r="B302" s="5" t="inlineStr">
        <is>
          <t>臺中市</t>
        </is>
      </c>
      <c r="C302" s="5" t="inlineStr">
        <is>
          <t>A21004</t>
        </is>
      </c>
      <c r="D302" s="5" t="inlineStr">
        <is>
          <t>taichung</t>
        </is>
      </c>
      <c r="E302" s="5" t="inlineStr">
        <is>
          <t>水湳智慧城（區段徵收）</t>
        </is>
      </c>
      <c r="F302" s="5" t="inlineStr">
        <is>
          <t>區段徵收</t>
        </is>
      </c>
      <c r="G302" s="5" t="inlineStr">
        <is>
          <t>潤隆當代首馥</t>
        </is>
      </c>
      <c r="H302" s="5" t="inlineStr">
        <is>
          <t>潤隆建設</t>
        </is>
      </c>
      <c r="I302" s="5" t="inlineStr">
        <is>
          <t>320戶</t>
        </is>
      </c>
      <c r="J302" s="5" t="inlineStr">
        <is>
          <t>46-52坪</t>
        </is>
      </c>
      <c r="K302" s="5" t="inlineStr">
        <is>
          <t>69.48萬/坪</t>
        </is>
      </c>
      <c r="L302" s="5" t="inlineStr"/>
      <c r="M302" s="5" t="inlineStr">
        <is>
          <t>預售</t>
        </is>
      </c>
      <c r="N302" s="5" t="inlineStr">
        <is>
          <t>L3</t>
        </is>
      </c>
      <c r="O302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3">
      <c r="A303" s="5" t="n">
        <v>302</v>
      </c>
      <c r="B303" s="5" t="inlineStr">
        <is>
          <t>臺中市</t>
        </is>
      </c>
      <c r="C303" s="5" t="inlineStr">
        <is>
          <t>A21004</t>
        </is>
      </c>
      <c r="D303" s="5" t="inlineStr">
        <is>
          <t>taichung</t>
        </is>
      </c>
      <c r="E303" s="5" t="inlineStr">
        <is>
          <t>水湳智慧城（區段徵收）</t>
        </is>
      </c>
      <c r="F303" s="5" t="inlineStr">
        <is>
          <t>區段徵收</t>
        </is>
      </c>
      <c r="G303" s="5" t="inlineStr">
        <is>
          <t>潤隆當代一邸</t>
        </is>
      </c>
      <c r="H303" s="5" t="inlineStr">
        <is>
          <t>潤隆建設</t>
        </is>
      </c>
      <c r="I303" s="5" t="inlineStr">
        <is>
          <t>166戶</t>
        </is>
      </c>
      <c r="J303" s="5" t="inlineStr"/>
      <c r="K303" s="5" t="inlineStr"/>
      <c r="L303" s="5" t="inlineStr"/>
      <c r="M303" s="5" t="inlineStr">
        <is>
          <t>預售</t>
        </is>
      </c>
      <c r="N303" s="5" t="inlineStr">
        <is>
          <t>L3</t>
        </is>
      </c>
      <c r="O303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4">
      <c r="A304" s="5" t="n">
        <v>303</v>
      </c>
      <c r="B304" s="5" t="inlineStr">
        <is>
          <t>臺中市</t>
        </is>
      </c>
      <c r="C304" s="5" t="inlineStr">
        <is>
          <t>A21004</t>
        </is>
      </c>
      <c r="D304" s="5" t="inlineStr">
        <is>
          <t>taichung</t>
        </is>
      </c>
      <c r="E304" s="5" t="inlineStr">
        <is>
          <t>水湳智慧城（區段徵收）</t>
        </is>
      </c>
      <c r="F304" s="5" t="inlineStr">
        <is>
          <t>區段徵收</t>
        </is>
      </c>
      <c r="G304" s="5" t="inlineStr">
        <is>
          <t>浩瀚豐森態</t>
        </is>
      </c>
      <c r="H304" s="5" t="inlineStr">
        <is>
          <t>浩瀚開發</t>
        </is>
      </c>
      <c r="I304" s="5" t="inlineStr">
        <is>
          <t>142戶</t>
        </is>
      </c>
      <c r="J304" s="5" t="inlineStr">
        <is>
          <t>24-32坪</t>
        </is>
      </c>
      <c r="K304" s="5" t="inlineStr"/>
      <c r="L304" s="5" t="inlineStr"/>
      <c r="M304" s="5" t="inlineStr">
        <is>
          <t>預售</t>
        </is>
      </c>
      <c r="N304" s="5" t="inlineStr">
        <is>
          <t>L3</t>
        </is>
      </c>
      <c r="O304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5">
      <c r="A305" s="5" t="n">
        <v>304</v>
      </c>
      <c r="B305" s="5" t="inlineStr">
        <is>
          <t>臺中市</t>
        </is>
      </c>
      <c r="C305" s="5" t="inlineStr">
        <is>
          <t>A21004</t>
        </is>
      </c>
      <c r="D305" s="5" t="inlineStr">
        <is>
          <t>taichung</t>
        </is>
      </c>
      <c r="E305" s="5" t="inlineStr">
        <is>
          <t>水湳智慧城（區段徵收）</t>
        </is>
      </c>
      <c r="F305" s="5" t="inlineStr">
        <is>
          <t>區段徵收</t>
        </is>
      </c>
      <c r="G305" s="5" t="inlineStr">
        <is>
          <t>泰御Sky Island</t>
        </is>
      </c>
      <c r="H305" s="5" t="inlineStr">
        <is>
          <t>泰御建設</t>
        </is>
      </c>
      <c r="I305" s="5" t="inlineStr">
        <is>
          <t>154戶</t>
        </is>
      </c>
      <c r="J305" s="5" t="inlineStr">
        <is>
          <t>23-32坪</t>
        </is>
      </c>
      <c r="K305" s="5" t="inlineStr">
        <is>
          <t>86.8萬/坪</t>
        </is>
      </c>
      <c r="L305" s="5" t="inlineStr"/>
      <c r="M305" s="5" t="inlineStr">
        <is>
          <t>預售</t>
        </is>
      </c>
      <c r="N305" s="5" t="inlineStr">
        <is>
          <t>L3</t>
        </is>
      </c>
      <c r="O305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6">
      <c r="A306" s="5" t="n">
        <v>305</v>
      </c>
      <c r="B306" s="5" t="inlineStr">
        <is>
          <t>臺中市</t>
        </is>
      </c>
      <c r="C306" s="5" t="inlineStr">
        <is>
          <t>A21004</t>
        </is>
      </c>
      <c r="D306" s="5" t="inlineStr">
        <is>
          <t>taichung</t>
        </is>
      </c>
      <c r="E306" s="5" t="inlineStr">
        <is>
          <t>水湳智慧城（區段徵收）</t>
        </is>
      </c>
      <c r="F306" s="5" t="inlineStr">
        <is>
          <t>區段徵收</t>
        </is>
      </c>
      <c r="G306" s="5" t="inlineStr">
        <is>
          <t>遠雄綠美</t>
        </is>
      </c>
      <c r="H306" s="5" t="inlineStr">
        <is>
          <t>遠雄建設</t>
        </is>
      </c>
      <c r="I306" s="5" t="inlineStr">
        <is>
          <t>155戶</t>
        </is>
      </c>
      <c r="J306" s="5" t="inlineStr">
        <is>
          <t>22-35坪</t>
        </is>
      </c>
      <c r="K306" s="5" t="inlineStr">
        <is>
          <t>83萬/坪(均價)</t>
        </is>
      </c>
      <c r="L306" s="5" t="inlineStr">
        <is>
          <t>2025</t>
        </is>
      </c>
      <c r="M306" s="5" t="inlineStr">
        <is>
          <t>預售</t>
        </is>
      </c>
      <c r="N306" s="5" t="inlineStr">
        <is>
          <t>L3</t>
        </is>
      </c>
      <c r="O306" s="5" t="inlineStr">
        <is>
          <t>https://www.farglory-realty.com.tw/buildings/bh9/</t>
        </is>
      </c>
    </row>
    <row r="307">
      <c r="A307" s="5" t="n">
        <v>306</v>
      </c>
      <c r="B307" s="5" t="inlineStr">
        <is>
          <t>臺中市</t>
        </is>
      </c>
      <c r="C307" s="5" t="inlineStr">
        <is>
          <t>A21004</t>
        </is>
      </c>
      <c r="D307" s="5" t="inlineStr">
        <is>
          <t>taichung</t>
        </is>
      </c>
      <c r="E307" s="5" t="inlineStr">
        <is>
          <t>水湳智慧城（區段徵收）</t>
        </is>
      </c>
      <c r="F307" s="5" t="inlineStr">
        <is>
          <t>區段徵收</t>
        </is>
      </c>
      <c r="G307" s="5" t="inlineStr">
        <is>
          <t>遠雄洄山行</t>
        </is>
      </c>
      <c r="H307" s="5" t="inlineStr">
        <is>
          <t>遠雄建設</t>
        </is>
      </c>
      <c r="I307" s="5" t="inlineStr">
        <is>
          <t>148戶</t>
        </is>
      </c>
      <c r="J307" s="5" t="inlineStr">
        <is>
          <t>24-48坪</t>
        </is>
      </c>
      <c r="K307" s="5" t="inlineStr">
        <is>
          <t>67.24萬/坪</t>
        </is>
      </c>
      <c r="L307" s="5" t="inlineStr"/>
      <c r="M307" s="5" t="inlineStr">
        <is>
          <t>已完工</t>
        </is>
      </c>
      <c r="N307" s="5" t="inlineStr">
        <is>
          <t>L3</t>
        </is>
      </c>
      <c r="O307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8">
      <c r="A308" s="5" t="n">
        <v>307</v>
      </c>
      <c r="B308" s="5" t="inlineStr">
        <is>
          <t>臺中市</t>
        </is>
      </c>
      <c r="C308" s="5" t="inlineStr">
        <is>
          <t>A21004</t>
        </is>
      </c>
      <c r="D308" s="5" t="inlineStr">
        <is>
          <t>taichung</t>
        </is>
      </c>
      <c r="E308" s="5" t="inlineStr">
        <is>
          <t>水湳智慧城（區段徵收）</t>
        </is>
      </c>
      <c r="F308" s="5" t="inlineStr">
        <is>
          <t>區段徵收</t>
        </is>
      </c>
      <c r="G308" s="5" t="inlineStr">
        <is>
          <t>時代海德大廈</t>
        </is>
      </c>
      <c r="H308" s="5" t="inlineStr">
        <is>
          <t>時代建設</t>
        </is>
      </c>
      <c r="I308" s="5" t="inlineStr">
        <is>
          <t>84戶</t>
        </is>
      </c>
      <c r="J308" s="5" t="inlineStr">
        <is>
          <t>38-46坪</t>
        </is>
      </c>
      <c r="K308" s="5" t="inlineStr"/>
      <c r="L308" s="5" t="inlineStr"/>
      <c r="M308" s="5" t="inlineStr">
        <is>
          <t>已完工</t>
        </is>
      </c>
      <c r="N308" s="5" t="inlineStr">
        <is>
          <t>L3</t>
        </is>
      </c>
      <c r="O308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9">
      <c r="A309" s="5" t="n">
        <v>308</v>
      </c>
      <c r="B309" s="5" t="inlineStr">
        <is>
          <t>臺中市</t>
        </is>
      </c>
      <c r="C309" s="5" t="inlineStr">
        <is>
          <t>A21004</t>
        </is>
      </c>
      <c r="D309" s="5" t="inlineStr">
        <is>
          <t>taichung</t>
        </is>
      </c>
      <c r="E309" s="5" t="inlineStr">
        <is>
          <t>水湳智慧城（區段徵收）</t>
        </is>
      </c>
      <c r="F309" s="5" t="inlineStr">
        <is>
          <t>區段徵收</t>
        </is>
      </c>
      <c r="G309" s="5" t="inlineStr">
        <is>
          <t>達麗J12</t>
        </is>
      </c>
      <c r="H309" s="5" t="inlineStr">
        <is>
          <t>達麗建設</t>
        </is>
      </c>
      <c r="I309" s="5" t="inlineStr">
        <is>
          <t>150戶</t>
        </is>
      </c>
      <c r="J309" s="5" t="inlineStr">
        <is>
          <t>21-29坪</t>
        </is>
      </c>
      <c r="K309" s="5" t="inlineStr">
        <is>
          <t>55.23萬/坪</t>
        </is>
      </c>
      <c r="L309" s="5" t="inlineStr"/>
      <c r="M309" s="5" t="inlineStr">
        <is>
          <t>已完銷</t>
        </is>
      </c>
      <c r="N309" s="5" t="inlineStr">
        <is>
          <t>L3</t>
        </is>
      </c>
      <c r="O309" s="5" t="inlineStr">
        <is>
          <t>https://www.housefeel.com.tw/article/%E6%B0%B4%E6%B9%B3%E7%B6%93%E8%B2%BF%E5%9C%92%E5%8D%80-%E6%B0%B4%E6%A5%A0%E6%99%BA%E6%85%A7%E5%9F%8E-%E6%B0%B4%E6%A5%A0%E5%85%AC%E5%9C%92-%E8%87%BA%E7%81%A3%E6%99%BA%E6%85%A7%E7%87%9F%E9%81%8B/；https://knowhouse.tw/4223</t>
        </is>
      </c>
    </row>
    <row r="310">
      <c r="A310" s="5" t="n">
        <v>309</v>
      </c>
      <c r="B310" s="5" t="inlineStr">
        <is>
          <t>臺中市</t>
        </is>
      </c>
      <c r="C310" s="5" t="inlineStr">
        <is>
          <t>A21004</t>
        </is>
      </c>
      <c r="D310" s="5" t="inlineStr">
        <is>
          <t>taichung</t>
        </is>
      </c>
      <c r="E310" s="5" t="inlineStr">
        <is>
          <t>水湳智慧城（區段徵收）</t>
        </is>
      </c>
      <c r="F310" s="5" t="inlineStr">
        <is>
          <t>區段徵收</t>
        </is>
      </c>
      <c r="G310" s="5" t="inlineStr">
        <is>
          <t>創研逸品</t>
        </is>
      </c>
      <c r="H310" s="5" t="inlineStr"/>
      <c r="I310" s="5" t="inlineStr">
        <is>
          <t>64戶</t>
        </is>
      </c>
      <c r="J310" s="5" t="inlineStr">
        <is>
          <t>36-38坪</t>
        </is>
      </c>
      <c r="K310" s="5" t="inlineStr">
        <is>
          <t>44.2萬/坪</t>
        </is>
      </c>
      <c r="L310" s="5" t="inlineStr"/>
      <c r="M310" s="5" t="inlineStr">
        <is>
          <t>已完工</t>
        </is>
      </c>
      <c r="N310" s="5" t="inlineStr">
        <is>
          <t>L3</t>
        </is>
      </c>
      <c r="O310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1">
      <c r="A311" s="5" t="n">
        <v>310</v>
      </c>
      <c r="B311" s="5" t="inlineStr">
        <is>
          <t>臺中市</t>
        </is>
      </c>
      <c r="C311" s="5" t="inlineStr">
        <is>
          <t>A21004</t>
        </is>
      </c>
      <c r="D311" s="5" t="inlineStr">
        <is>
          <t>taichung</t>
        </is>
      </c>
      <c r="E311" s="5" t="inlineStr">
        <is>
          <t>水湳智慧城（區段徵收）</t>
        </is>
      </c>
      <c r="F311" s="5" t="inlineStr">
        <is>
          <t>區段徵收</t>
        </is>
      </c>
      <c r="G311" s="5" t="inlineStr">
        <is>
          <t>達麗創世紀</t>
        </is>
      </c>
      <c r="H311" s="5" t="inlineStr">
        <is>
          <t>達麗建設</t>
        </is>
      </c>
      <c r="I311" s="5" t="inlineStr">
        <is>
          <t>639戶</t>
        </is>
      </c>
      <c r="J311" s="5" t="inlineStr">
        <is>
          <t>21-26坪</t>
        </is>
      </c>
      <c r="K311" s="5" t="inlineStr">
        <is>
          <t>57.63萬/坪</t>
        </is>
      </c>
      <c r="L311" s="5" t="inlineStr"/>
      <c r="M311" s="5" t="inlineStr">
        <is>
          <t>已完工</t>
        </is>
      </c>
      <c r="N311" s="5" t="inlineStr">
        <is>
          <t>L3</t>
        </is>
      </c>
      <c r="O311" s="5" t="inlineStr">
        <is>
          <t>https://www.housefeel.com.tw/article/%E6%B0%B4%E6%B9%B3%E7%B6%93%E8%B2%BF%E5%9C%92%E5%8D%80-%E6%B0%B4%E6%A5%A0%E6%99%BA%E6%85%A7%E5%9F%8E-%E6%B0%B4%E6%A5%A0%E5%85%AC%E5%9C%92-%E8%87%BA%E7%81%A3%E6%99%BA%E6%85%A7%E7%87%9F%E9%81%8B/；https://www.leju.com.tw/page_view/view/397</t>
        </is>
      </c>
    </row>
    <row r="312">
      <c r="A312" s="5" t="n">
        <v>311</v>
      </c>
      <c r="B312" s="5" t="inlineStr">
        <is>
          <t>臺中市</t>
        </is>
      </c>
      <c r="C312" s="5" t="inlineStr">
        <is>
          <t>A21004</t>
        </is>
      </c>
      <c r="D312" s="5" t="inlineStr">
        <is>
          <t>taichung</t>
        </is>
      </c>
      <c r="E312" s="5" t="inlineStr">
        <is>
          <t>水湳智慧城（區段徵收）</t>
        </is>
      </c>
      <c r="F312" s="5" t="inlineStr">
        <is>
          <t>區段徵收</t>
        </is>
      </c>
      <c r="G312" s="5" t="inlineStr">
        <is>
          <t>遠雄寬寓</t>
        </is>
      </c>
      <c r="H312" s="5" t="inlineStr">
        <is>
          <t>遠雄建設</t>
        </is>
      </c>
      <c r="I312" s="5" t="inlineStr">
        <is>
          <t>171戶</t>
        </is>
      </c>
      <c r="J312" s="5" t="inlineStr">
        <is>
          <t>19-43坪</t>
        </is>
      </c>
      <c r="K312" s="5" t="inlineStr">
        <is>
          <t>62.6萬/坪</t>
        </is>
      </c>
      <c r="L312" s="5" t="inlineStr"/>
      <c r="M312" s="5" t="inlineStr">
        <is>
          <t>已完工</t>
        </is>
      </c>
      <c r="N312" s="5" t="inlineStr">
        <is>
          <t>L3</t>
        </is>
      </c>
      <c r="O312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3">
      <c r="A313" s="5" t="n">
        <v>312</v>
      </c>
      <c r="B313" s="5" t="inlineStr">
        <is>
          <t>臺中市</t>
        </is>
      </c>
      <c r="C313" s="5" t="inlineStr">
        <is>
          <t>A21004</t>
        </is>
      </c>
      <c r="D313" s="5" t="inlineStr">
        <is>
          <t>taichung</t>
        </is>
      </c>
      <c r="E313" s="5" t="inlineStr">
        <is>
          <t>水湳智慧城（區段徵收）</t>
        </is>
      </c>
      <c r="F313" s="5" t="inlineStr">
        <is>
          <t>區段徵收</t>
        </is>
      </c>
      <c r="G313" s="5" t="inlineStr">
        <is>
          <t>遠雄純寓</t>
        </is>
      </c>
      <c r="H313" s="5" t="inlineStr">
        <is>
          <t>遠雄建設</t>
        </is>
      </c>
      <c r="I313" s="5" t="inlineStr">
        <is>
          <t>128戶</t>
        </is>
      </c>
      <c r="J313" s="5" t="inlineStr">
        <is>
          <t>18-29坪</t>
        </is>
      </c>
      <c r="K313" s="5" t="inlineStr">
        <is>
          <t>72.22萬/坪</t>
        </is>
      </c>
      <c r="L313" s="5" t="inlineStr"/>
      <c r="M313" s="5" t="inlineStr">
        <is>
          <t>已完工</t>
        </is>
      </c>
      <c r="N313" s="5" t="inlineStr">
        <is>
          <t>L3</t>
        </is>
      </c>
      <c r="O313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4">
      <c r="A314" s="5" t="n">
        <v>313</v>
      </c>
      <c r="B314" s="5" t="inlineStr">
        <is>
          <t>臺中市</t>
        </is>
      </c>
      <c r="C314" s="5" t="inlineStr">
        <is>
          <t>A21004</t>
        </is>
      </c>
      <c r="D314" s="5" t="inlineStr">
        <is>
          <t>taichung</t>
        </is>
      </c>
      <c r="E314" s="5" t="inlineStr">
        <is>
          <t>水湳智慧城（區段徵收）</t>
        </is>
      </c>
      <c r="F314" s="5" t="inlineStr">
        <is>
          <t>區段徵收</t>
        </is>
      </c>
      <c r="G314" s="5" t="inlineStr">
        <is>
          <t>遠雄藝舍</t>
        </is>
      </c>
      <c r="H314" s="5" t="inlineStr">
        <is>
          <t>遠雄建設</t>
        </is>
      </c>
      <c r="I314" s="5" t="inlineStr">
        <is>
          <t>87戶</t>
        </is>
      </c>
      <c r="J314" s="5" t="inlineStr">
        <is>
          <t>28-44坪</t>
        </is>
      </c>
      <c r="K314" s="5" t="inlineStr"/>
      <c r="L314" s="5" t="inlineStr"/>
      <c r="M314" s="5" t="inlineStr">
        <is>
          <t>已完工</t>
        </is>
      </c>
      <c r="N314" s="5" t="inlineStr">
        <is>
          <t>L3</t>
        </is>
      </c>
      <c r="O314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5">
      <c r="A315" s="5" t="n">
        <v>314</v>
      </c>
      <c r="B315" s="5" t="inlineStr">
        <is>
          <t>臺中市</t>
        </is>
      </c>
      <c r="C315" s="5" t="inlineStr">
        <is>
          <t>A21004</t>
        </is>
      </c>
      <c r="D315" s="5" t="inlineStr">
        <is>
          <t>taichung</t>
        </is>
      </c>
      <c r="E315" s="5" t="inlineStr">
        <is>
          <t>水湳智慧城（區段徵收）</t>
        </is>
      </c>
      <c r="F315" s="5" t="inlineStr">
        <is>
          <t>區段徵收</t>
        </is>
      </c>
      <c r="G315" s="5" t="inlineStr">
        <is>
          <t>博元雍悦一方</t>
        </is>
      </c>
      <c r="H315" s="5" t="inlineStr">
        <is>
          <t>博元建設</t>
        </is>
      </c>
      <c r="I315" s="5" t="inlineStr">
        <is>
          <t>239戶</t>
        </is>
      </c>
      <c r="J315" s="5" t="inlineStr">
        <is>
          <t>58-65坪</t>
        </is>
      </c>
      <c r="K315" s="5" t="inlineStr">
        <is>
          <t>61.43萬/坪</t>
        </is>
      </c>
      <c r="L315" s="5" t="inlineStr"/>
      <c r="M315" s="5" t="inlineStr">
        <is>
          <t>已完工</t>
        </is>
      </c>
      <c r="N315" s="5" t="inlineStr">
        <is>
          <t>L3</t>
        </is>
      </c>
      <c r="O315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6">
      <c r="A316" s="5" t="n">
        <v>315</v>
      </c>
      <c r="B316" s="5" t="inlineStr">
        <is>
          <t>臺中市</t>
        </is>
      </c>
      <c r="C316" s="5" t="inlineStr">
        <is>
          <t>A21004</t>
        </is>
      </c>
      <c r="D316" s="5" t="inlineStr">
        <is>
          <t>taichung</t>
        </is>
      </c>
      <c r="E316" s="5" t="inlineStr">
        <is>
          <t>水湳智慧城（區段徵收）</t>
        </is>
      </c>
      <c r="F316" s="5" t="inlineStr">
        <is>
          <t>區段徵收</t>
        </is>
      </c>
      <c r="G316" s="5" t="inlineStr">
        <is>
          <t>豐穀璞真</t>
        </is>
      </c>
      <c r="H316" s="5" t="inlineStr">
        <is>
          <t>豐穀建設</t>
        </is>
      </c>
      <c r="I316" s="5" t="inlineStr">
        <is>
          <t>50戶</t>
        </is>
      </c>
      <c r="J316" s="5" t="inlineStr">
        <is>
          <t>46-54坪</t>
        </is>
      </c>
      <c r="K316" s="5" t="inlineStr"/>
      <c r="L316" s="5" t="inlineStr"/>
      <c r="M316" s="5" t="inlineStr">
        <is>
          <t>已完工</t>
        </is>
      </c>
      <c r="N316" s="5" t="inlineStr">
        <is>
          <t>L3</t>
        </is>
      </c>
      <c r="O316" s="5" t="inlineStr">
        <is>
          <t>https://taichung.housetube.tw/23124</t>
        </is>
      </c>
    </row>
    <row r="317">
      <c r="A317" s="5" t="n">
        <v>316</v>
      </c>
      <c r="B317" s="5" t="inlineStr">
        <is>
          <t>臺中市</t>
        </is>
      </c>
      <c r="C317" s="5" t="inlineStr">
        <is>
          <t>A21004</t>
        </is>
      </c>
      <c r="D317" s="5" t="inlineStr">
        <is>
          <t>taichung</t>
        </is>
      </c>
      <c r="E317" s="5" t="inlineStr">
        <is>
          <t>水湳智慧城（區段徵收）</t>
        </is>
      </c>
      <c r="F317" s="5" t="inlineStr">
        <is>
          <t>區段徵收</t>
        </is>
      </c>
      <c r="G317" s="5" t="inlineStr">
        <is>
          <t>久樘柏登莊園</t>
        </is>
      </c>
      <c r="H317" s="5" t="inlineStr">
        <is>
          <t>久樘開發</t>
        </is>
      </c>
      <c r="I317" s="5" t="inlineStr">
        <is>
          <t>20戶</t>
        </is>
      </c>
      <c r="J317" s="5" t="inlineStr">
        <is>
          <t>77-103坪</t>
        </is>
      </c>
      <c r="K317" s="5" t="inlineStr">
        <is>
          <t>總價5889萬/戶</t>
        </is>
      </c>
      <c r="L317" s="5" t="inlineStr"/>
      <c r="M317" s="5" t="inlineStr">
        <is>
          <t>已完工</t>
        </is>
      </c>
      <c r="N317" s="5" t="inlineStr">
        <is>
          <t>L3</t>
        </is>
      </c>
      <c r="O317" s="5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8">
      <c r="A318" s="5" t="n">
        <v>317</v>
      </c>
      <c r="B318" s="5" t="inlineStr">
        <is>
          <t>臺中市</t>
        </is>
      </c>
      <c r="C318" s="5" t="inlineStr">
        <is>
          <t>A21004</t>
        </is>
      </c>
      <c r="D318" s="5" t="inlineStr">
        <is>
          <t>taichung</t>
        </is>
      </c>
      <c r="E318" s="5" t="inlineStr">
        <is>
          <t>水湳智慧城（區段徵收）</t>
        </is>
      </c>
      <c r="F318" s="5" t="inlineStr">
        <is>
          <t>區段徵收</t>
        </is>
      </c>
      <c r="G318" s="5" t="inlineStr">
        <is>
          <t>敦泰璞善</t>
        </is>
      </c>
      <c r="H318" s="5" t="inlineStr">
        <is>
          <t>敦泰建設</t>
        </is>
      </c>
      <c r="I318" s="5" t="inlineStr">
        <is>
          <t>7戶</t>
        </is>
      </c>
      <c r="J318" s="5" t="inlineStr">
        <is>
          <t>95-120坪</t>
        </is>
      </c>
      <c r="K318" s="5" t="inlineStr">
        <is>
          <t>總價6212萬/戶</t>
        </is>
      </c>
      <c r="L318" s="5" t="inlineStr"/>
      <c r="M318" s="5" t="inlineStr">
        <is>
          <t>興建中</t>
        </is>
      </c>
      <c r="N318" s="5" t="inlineStr">
        <is>
          <t>L3</t>
        </is>
      </c>
      <c r="O318" s="5" t="inlineStr">
        <is>
          <t>https://www.housefeel.com.tw/article/%E6%B0%B4%E6%B9%B3%E7%B6%93%E8%B2%BF%E5%9C%92%E5%8D%80-%E6%B0%B4%E6%A5%A0%E6%99%BA%E6%85%A7%E5%9F%8E-%E6%B0%B4%E6%A5%A0%E5%85%AC%E5%9C%92-%E8%87%BA%E7%81%A3%E6%99%BA%E6%85%A7%E7%87%9F%E9%81%8B/；https://knowhouse.tw/area_tags/45ebbc</t>
        </is>
      </c>
    </row>
    <row r="319">
      <c r="A319" s="5" t="n">
        <v>318</v>
      </c>
      <c r="B319" s="5" t="inlineStr">
        <is>
          <t>臺中市</t>
        </is>
      </c>
      <c r="C319" s="5" t="inlineStr">
        <is>
          <t>A21004</t>
        </is>
      </c>
      <c r="D319" s="5" t="inlineStr">
        <is>
          <t>taichung</t>
        </is>
      </c>
      <c r="E319" s="5" t="inlineStr">
        <is>
          <t>水湳智慧城（區段徵收）</t>
        </is>
      </c>
      <c r="F319" s="5" t="inlineStr">
        <is>
          <t>區段徵收</t>
        </is>
      </c>
      <c r="G319" s="5" t="inlineStr">
        <is>
          <t>敦泰本善二期</t>
        </is>
      </c>
      <c r="H319" s="5" t="inlineStr">
        <is>
          <t>敦泰建設</t>
        </is>
      </c>
      <c r="I319" s="5" t="inlineStr"/>
      <c r="J319" s="5" t="inlineStr"/>
      <c r="K319" s="5" t="inlineStr"/>
      <c r="L319" s="5" t="inlineStr"/>
      <c r="M319" s="5" t="inlineStr">
        <is>
          <t>興建中</t>
        </is>
      </c>
      <c r="N319" s="5" t="inlineStr">
        <is>
          <t>L3</t>
        </is>
      </c>
      <c r="O319" s="5" t="inlineStr">
        <is>
          <t>https://knowhouse.tw/area_tags/45ebbc</t>
        </is>
      </c>
    </row>
    <row r="320">
      <c r="A320" s="5" t="n">
        <v>319</v>
      </c>
      <c r="B320" s="5" t="inlineStr">
        <is>
          <t>臺中市</t>
        </is>
      </c>
      <c r="C320" s="5" t="inlineStr">
        <is>
          <t>A21004</t>
        </is>
      </c>
      <c r="D320" s="5" t="inlineStr">
        <is>
          <t>taichung</t>
        </is>
      </c>
      <c r="E320" s="5" t="inlineStr">
        <is>
          <t>舊市區零星都更</t>
        </is>
      </c>
      <c r="F320" s="5" t="inlineStr">
        <is>
          <t>都市更新</t>
        </is>
      </c>
      <c r="G320" s="5" t="inlineStr">
        <is>
          <t>金園大樓都更案</t>
        </is>
      </c>
      <c r="H320" s="5" t="inlineStr"/>
      <c r="I320" s="5" t="inlineStr"/>
      <c r="J320" s="5" t="inlineStr"/>
      <c r="K320" s="5" t="inlineStr"/>
      <c r="L320" s="5" t="inlineStr"/>
      <c r="M320" s="5" t="inlineStr"/>
      <c r="N320" s="5" t="inlineStr">
        <is>
          <t>L3</t>
        </is>
      </c>
      <c r="O320" s="5" t="inlineStr">
        <is>
          <t>https://94m.com.tw/articles/3ab362</t>
        </is>
      </c>
    </row>
    <row r="321">
      <c r="A321" s="5" t="n">
        <v>320</v>
      </c>
      <c r="B321" s="5" t="inlineStr">
        <is>
          <t>臺南市</t>
        </is>
      </c>
      <c r="C321" s="5" t="inlineStr">
        <is>
          <t>A21005</t>
        </is>
      </c>
      <c r="D321" s="5" t="inlineStr">
        <is>
          <t>tainan</t>
        </is>
      </c>
      <c r="E321" s="5" t="inlineStr">
        <is>
          <t>東區重劃</t>
        </is>
      </c>
      <c r="F321" s="5" t="inlineStr">
        <is>
          <t>公辦市地重劃</t>
        </is>
      </c>
      <c r="G321" s="5" t="inlineStr">
        <is>
          <t>清景麟夢公園</t>
        </is>
      </c>
      <c r="H321" s="5" t="inlineStr">
        <is>
          <t>上維地產</t>
        </is>
      </c>
      <c r="I321" s="5" t="inlineStr"/>
      <c r="J321" s="5" t="inlineStr"/>
      <c r="K321" s="5" t="inlineStr"/>
      <c r="L321" s="5" t="inlineStr">
        <is>
          <t>2026</t>
        </is>
      </c>
      <c r="M321" s="5" t="inlineStr">
        <is>
          <t>預售</t>
        </is>
      </c>
      <c r="N321" s="5" t="inlineStr">
        <is>
          <t>L3</t>
        </is>
      </c>
      <c r="O321" s="5" t="inlineStr">
        <is>
          <t>https://newhouse.591.com.tw/135463</t>
        </is>
      </c>
    </row>
    <row r="322">
      <c r="A322" s="5" t="n">
        <v>321</v>
      </c>
      <c r="B322" s="5" t="inlineStr">
        <is>
          <t>臺南市</t>
        </is>
      </c>
      <c r="C322" s="5" t="inlineStr">
        <is>
          <t>A21005</t>
        </is>
      </c>
      <c r="D322" s="5" t="inlineStr">
        <is>
          <t>tainan</t>
        </is>
      </c>
      <c r="E322" s="5" t="inlineStr">
        <is>
          <t>東區重劃</t>
        </is>
      </c>
      <c r="F322" s="5" t="inlineStr">
        <is>
          <t>公辦市地重劃</t>
        </is>
      </c>
      <c r="G322" s="5" t="inlineStr">
        <is>
          <t>世界巨星</t>
        </is>
      </c>
      <c r="H322" s="5" t="inlineStr">
        <is>
          <t>和宜建設</t>
        </is>
      </c>
      <c r="I322" s="5" t="inlineStr"/>
      <c r="J322" s="5" t="inlineStr"/>
      <c r="K322" s="5" t="inlineStr">
        <is>
          <t>36-52萬/坪</t>
        </is>
      </c>
      <c r="L322" s="5" t="inlineStr">
        <is>
          <t>2021</t>
        </is>
      </c>
      <c r="M322" s="5" t="inlineStr">
        <is>
          <t>已完銷</t>
        </is>
      </c>
      <c r="N322" s="5" t="inlineStr">
        <is>
          <t>L3</t>
        </is>
      </c>
      <c r="O322" s="5" t="inlineStr">
        <is>
          <t>https://www.housefeel.com.tw/article/%E5%B9%B3%E5%AF%A6%E7%87%9F%E5%8D%80-%E5%B9%B3%E5%AF%A6%E9%87%8D%E5%8A%83%E5%8D%80-%E5%8F%B0%E5%8D%97%E9%87%8D%E5%8A%83%E5%8D%80/</t>
        </is>
      </c>
    </row>
    <row r="323">
      <c r="A323" s="5" t="n">
        <v>322</v>
      </c>
      <c r="B323" s="5" t="inlineStr">
        <is>
          <t>臺南市</t>
        </is>
      </c>
      <c r="C323" s="5" t="inlineStr">
        <is>
          <t>A21005</t>
        </is>
      </c>
      <c r="D323" s="5" t="inlineStr">
        <is>
          <t>tainan</t>
        </is>
      </c>
      <c r="E323" s="5" t="inlineStr">
        <is>
          <t>東區重劃</t>
        </is>
      </c>
      <c r="F323" s="5" t="inlineStr">
        <is>
          <t>公辦市地重劃</t>
        </is>
      </c>
      <c r="G323" s="5" t="inlineStr">
        <is>
          <t>艾美新時代(地上權)</t>
        </is>
      </c>
      <c r="H323" s="5" t="inlineStr"/>
      <c r="I323" s="5" t="inlineStr">
        <is>
          <t>293戶</t>
        </is>
      </c>
      <c r="J323" s="5" t="inlineStr">
        <is>
          <t>21-32坪</t>
        </is>
      </c>
      <c r="K323" s="5" t="inlineStr"/>
      <c r="L323" s="5" t="inlineStr"/>
      <c r="M323" s="5" t="inlineStr">
        <is>
          <t>預售</t>
        </is>
      </c>
      <c r="N323" s="5" t="inlineStr">
        <is>
          <t>L3</t>
        </is>
      </c>
      <c r="O323" s="5" t="inlineStr">
        <is>
          <t>https://www.housefeel.com.tw/article/%E5%B9%B3%E5%AF%A6%E7%87%9F%E5%8D%80-%E5%B9%B3%E5%AF%A6%E9%87%8D%E5%8A%83%E5%8D%80-%E5%8F%B0%E5%8D%97%E9%87%8D%E5%8A%83%E5%8D%80/</t>
        </is>
      </c>
    </row>
    <row r="324">
      <c r="A324" s="5" t="n">
        <v>323</v>
      </c>
      <c r="B324" s="5" t="inlineStr">
        <is>
          <t>臺南市</t>
        </is>
      </c>
      <c r="C324" s="5" t="inlineStr">
        <is>
          <t>A21005</t>
        </is>
      </c>
      <c r="D324" s="5" t="inlineStr">
        <is>
          <t>tainan</t>
        </is>
      </c>
      <c r="E324" s="5" t="inlineStr">
        <is>
          <t>東區重劃</t>
        </is>
      </c>
      <c r="F324" s="5" t="inlineStr">
        <is>
          <t>公辦市地重劃</t>
        </is>
      </c>
      <c r="G324" s="5" t="inlineStr">
        <is>
          <t>國城寳實</t>
        </is>
      </c>
      <c r="H324" s="5" t="inlineStr">
        <is>
          <t>國城建設</t>
        </is>
      </c>
      <c r="I324" s="5" t="inlineStr">
        <is>
          <t>1088戶</t>
        </is>
      </c>
      <c r="J324" s="5" t="inlineStr"/>
      <c r="K324" s="5" t="inlineStr">
        <is>
          <t>58.8萬/坪</t>
        </is>
      </c>
      <c r="L324" s="5" t="inlineStr"/>
      <c r="M324" s="5" t="inlineStr">
        <is>
          <t>預售</t>
        </is>
      </c>
      <c r="N324" s="5" t="inlineStr">
        <is>
          <t>L3</t>
        </is>
      </c>
      <c r="O324" s="5" t="inlineStr">
        <is>
          <t>https://tainan.housetube.tw/51219</t>
        </is>
      </c>
    </row>
    <row r="325">
      <c r="A325" s="5" t="n">
        <v>324</v>
      </c>
      <c r="B325" s="5" t="inlineStr">
        <is>
          <t>臺南市</t>
        </is>
      </c>
      <c r="C325" s="5" t="inlineStr">
        <is>
          <t>A21005</t>
        </is>
      </c>
      <c r="D325" s="5" t="inlineStr">
        <is>
          <t>tainan</t>
        </is>
      </c>
      <c r="E325" s="5" t="inlineStr">
        <is>
          <t>東區重劃</t>
        </is>
      </c>
      <c r="F325" s="5" t="inlineStr">
        <is>
          <t>公辦市地重劃</t>
        </is>
      </c>
      <c r="G325" s="5" t="inlineStr">
        <is>
          <t>舜之璽</t>
        </is>
      </c>
      <c r="H325" s="5" t="inlineStr">
        <is>
          <t>品舜開發建設</t>
        </is>
      </c>
      <c r="I325" s="5" t="inlineStr"/>
      <c r="J325" s="5" t="inlineStr">
        <is>
          <t>60.28-64.57坪</t>
        </is>
      </c>
      <c r="K325" s="5" t="inlineStr"/>
      <c r="L325" s="5" t="inlineStr"/>
      <c r="M325" s="5" t="inlineStr">
        <is>
          <t>預售</t>
        </is>
      </c>
      <c r="N325" s="5" t="inlineStr">
        <is>
          <t>L3</t>
        </is>
      </c>
      <c r="O325" s="5" t="inlineStr">
        <is>
          <t>https://tainan.housetube.tw/42718</t>
        </is>
      </c>
    </row>
    <row r="326">
      <c r="A326" s="5" t="n">
        <v>325</v>
      </c>
      <c r="B326" s="5" t="inlineStr">
        <is>
          <t>臺南市</t>
        </is>
      </c>
      <c r="C326" s="5" t="inlineStr">
        <is>
          <t>A21005</t>
        </is>
      </c>
      <c r="D326" s="5" t="inlineStr">
        <is>
          <t>tainan</t>
        </is>
      </c>
      <c r="E326" s="5" t="inlineStr">
        <is>
          <t>東區重劃</t>
        </is>
      </c>
      <c r="F326" s="5" t="inlineStr">
        <is>
          <t>公辦市地重劃</t>
        </is>
      </c>
      <c r="G326" s="5" t="inlineStr">
        <is>
          <t>皇龍御品III</t>
        </is>
      </c>
      <c r="H326" s="5" t="inlineStr">
        <is>
          <t>皇龍建設</t>
        </is>
      </c>
      <c r="I326" s="5" t="inlineStr">
        <is>
          <t>58戶</t>
        </is>
      </c>
      <c r="J326" s="5" t="inlineStr">
        <is>
          <t>60-70坪</t>
        </is>
      </c>
      <c r="K326" s="5" t="inlineStr">
        <is>
          <t>29.5萬/坪</t>
        </is>
      </c>
      <c r="L326" s="5" t="inlineStr"/>
      <c r="M326" s="5" t="inlineStr">
        <is>
          <t>已完工</t>
        </is>
      </c>
      <c r="N326" s="5" t="inlineStr">
        <is>
          <t>L3</t>
        </is>
      </c>
      <c r="O326" s="5" t="inlineStr">
        <is>
          <t>https://community.houseprice.tw/list/%E5%8F%B0%E5%8D%97%E5%B8%82_city/%E6%9D%B1%E5%8D%80_zip/%E5%BE%A9%E8%88%88%E5%9C%8B%E4%B8%AD_kw/</t>
        </is>
      </c>
    </row>
    <row r="327">
      <c r="A327" s="5" t="n">
        <v>326</v>
      </c>
      <c r="B327" s="5" t="inlineStr">
        <is>
          <t>臺南市</t>
        </is>
      </c>
      <c r="C327" s="5" t="inlineStr">
        <is>
          <t>A21005</t>
        </is>
      </c>
      <c r="D327" s="5" t="inlineStr">
        <is>
          <t>tainan</t>
        </is>
      </c>
      <c r="E327" s="5" t="inlineStr">
        <is>
          <t>東區重劃</t>
        </is>
      </c>
      <c r="F327" s="5" t="inlineStr">
        <is>
          <t>公辦市地重劃</t>
        </is>
      </c>
      <c r="G327" s="5" t="inlineStr">
        <is>
          <t>日東昇Park626森美</t>
        </is>
      </c>
      <c r="H327" s="5" t="inlineStr">
        <is>
          <t>日東昇機構</t>
        </is>
      </c>
      <c r="I327" s="5" t="inlineStr"/>
      <c r="J327" s="5" t="inlineStr"/>
      <c r="K327" s="5" t="inlineStr"/>
      <c r="L327" s="5" t="inlineStr">
        <is>
          <t>2026</t>
        </is>
      </c>
      <c r="M327" s="5" t="inlineStr">
        <is>
          <t>預售</t>
        </is>
      </c>
      <c r="N327" s="5" t="inlineStr">
        <is>
          <t>L3</t>
        </is>
      </c>
      <c r="O327" s="5" t="inlineStr">
        <is>
          <t>https://54aming.com/articles/8f0835</t>
        </is>
      </c>
    </row>
    <row r="328">
      <c r="A328" s="5" t="n">
        <v>327</v>
      </c>
      <c r="B328" s="5" t="inlineStr">
        <is>
          <t>臺南市</t>
        </is>
      </c>
      <c r="C328" s="5" t="inlineStr">
        <is>
          <t>A21005</t>
        </is>
      </c>
      <c r="D328" s="5" t="inlineStr">
        <is>
          <t>tainan</t>
        </is>
      </c>
      <c r="E328" s="5" t="inlineStr">
        <is>
          <t>永康公辦重劃</t>
        </is>
      </c>
      <c r="F328" s="5" t="inlineStr">
        <is>
          <t>公辦市地重劃</t>
        </is>
      </c>
      <c r="G328" s="5" t="inlineStr">
        <is>
          <t>仁發大都滙</t>
        </is>
      </c>
      <c r="H328" s="5" t="inlineStr">
        <is>
          <t>仁發建築</t>
        </is>
      </c>
      <c r="I328" s="5" t="inlineStr"/>
      <c r="J328" s="5" t="inlineStr">
        <is>
          <t>26-58坪</t>
        </is>
      </c>
      <c r="K328" s="5" t="inlineStr"/>
      <c r="L328" s="5" t="inlineStr"/>
      <c r="M328" s="5" t="inlineStr"/>
      <c r="N328" s="5" t="inlineStr">
        <is>
          <t>L3</t>
        </is>
      </c>
      <c r="O328" s="5" t="inlineStr">
        <is>
          <t>https://tainan.housetube.tw/18397</t>
        </is>
      </c>
    </row>
    <row r="329">
      <c r="A329" s="5" t="n">
        <v>328</v>
      </c>
      <c r="B329" s="5" t="inlineStr">
        <is>
          <t>臺南市</t>
        </is>
      </c>
      <c r="C329" s="5" t="inlineStr">
        <is>
          <t>A21005</t>
        </is>
      </c>
      <c r="D329" s="5" t="inlineStr">
        <is>
          <t>tainan</t>
        </is>
      </c>
      <c r="E329" s="5" t="inlineStr">
        <is>
          <t>歸仁公辦重劃</t>
        </is>
      </c>
      <c r="F329" s="5" t="inlineStr">
        <is>
          <t>公辦市地重劃</t>
        </is>
      </c>
      <c r="G329" s="5" t="inlineStr">
        <is>
          <t>晶悅合一</t>
        </is>
      </c>
      <c r="H329" s="5" t="inlineStr">
        <is>
          <t>合一建築</t>
        </is>
      </c>
      <c r="I329" s="5" t="inlineStr"/>
      <c r="J329" s="5" t="inlineStr">
        <is>
          <t>23.3-38坪</t>
        </is>
      </c>
      <c r="K329" s="5" t="inlineStr">
        <is>
          <t>38-48萬/坪</t>
        </is>
      </c>
      <c r="L329" s="5" t="inlineStr"/>
      <c r="M329" s="5" t="inlineStr">
        <is>
          <t>銷售中</t>
        </is>
      </c>
      <c r="N329" s="5" t="inlineStr">
        <is>
          <t>L3</t>
        </is>
      </c>
      <c r="O329" s="5" t="inlineStr">
        <is>
          <t>https://newhouse.591.com.tw/136115</t>
        </is>
      </c>
    </row>
    <row r="330">
      <c r="A330" s="5" t="n">
        <v>329</v>
      </c>
      <c r="B330" s="5" t="inlineStr">
        <is>
          <t>臺南市</t>
        </is>
      </c>
      <c r="C330" s="5" t="inlineStr">
        <is>
          <t>A21005</t>
        </is>
      </c>
      <c r="D330" s="5" t="inlineStr">
        <is>
          <t>tainan</t>
        </is>
      </c>
      <c r="E330" s="5" t="inlineStr">
        <is>
          <t>歸仁公辦重劃</t>
        </is>
      </c>
      <c r="F330" s="5" t="inlineStr">
        <is>
          <t>公辦市地重劃</t>
        </is>
      </c>
      <c r="G330" s="5" t="inlineStr">
        <is>
          <t>佳順大順</t>
        </is>
      </c>
      <c r="H330" s="5" t="inlineStr">
        <is>
          <t>佳順建設</t>
        </is>
      </c>
      <c r="I330" s="5" t="inlineStr"/>
      <c r="J330" s="5" t="inlineStr">
        <is>
          <t>24-44坪</t>
        </is>
      </c>
      <c r="K330" s="5" t="inlineStr"/>
      <c r="L330" s="5" t="inlineStr"/>
      <c r="M330" s="5" t="inlineStr"/>
      <c r="N330" s="5" t="inlineStr">
        <is>
          <t>L3</t>
        </is>
      </c>
      <c r="O330" s="5" t="inlineStr">
        <is>
          <t>https://tainan.housetube.tw/42114</t>
        </is>
      </c>
    </row>
    <row r="331">
      <c r="A331" s="5" t="n">
        <v>330</v>
      </c>
      <c r="B331" s="5" t="inlineStr">
        <is>
          <t>臺南市</t>
        </is>
      </c>
      <c r="C331" s="5" t="inlineStr">
        <is>
          <t>A21005</t>
        </is>
      </c>
      <c r="D331" s="5" t="inlineStr">
        <is>
          <t>tainan</t>
        </is>
      </c>
      <c r="E331" s="5" t="inlineStr">
        <is>
          <t>歸仁公辦重劃</t>
        </is>
      </c>
      <c r="F331" s="5" t="inlineStr">
        <is>
          <t>公辦市地重劃</t>
        </is>
      </c>
      <c r="G331" s="5" t="inlineStr">
        <is>
          <t>佳順大富</t>
        </is>
      </c>
      <c r="H331" s="5" t="inlineStr">
        <is>
          <t>佳順建設</t>
        </is>
      </c>
      <c r="I331" s="5" t="inlineStr"/>
      <c r="J331" s="5" t="inlineStr">
        <is>
          <t>25-46坪</t>
        </is>
      </c>
      <c r="K331" s="5" t="inlineStr">
        <is>
          <t>34-37萬/坪</t>
        </is>
      </c>
      <c r="L331" s="5" t="inlineStr"/>
      <c r="M331" s="5" t="inlineStr">
        <is>
          <t>交屋中</t>
        </is>
      </c>
      <c r="N331" s="5" t="inlineStr">
        <is>
          <t>L3</t>
        </is>
      </c>
      <c r="O331" s="5" t="inlineStr">
        <is>
          <t>https://tainan.housetube.tw/47877</t>
        </is>
      </c>
    </row>
    <row r="332">
      <c r="A332" s="5" t="n">
        <v>331</v>
      </c>
      <c r="B332" s="5" t="inlineStr">
        <is>
          <t>臺南市</t>
        </is>
      </c>
      <c r="C332" s="5" t="inlineStr">
        <is>
          <t>A21005</t>
        </is>
      </c>
      <c r="D332" s="5" t="inlineStr">
        <is>
          <t>tainan</t>
        </is>
      </c>
      <c r="E332" s="5" t="inlineStr">
        <is>
          <t>歸仁公辦重劃</t>
        </is>
      </c>
      <c r="F332" s="5" t="inlineStr">
        <is>
          <t>公辦市地重劃</t>
        </is>
      </c>
      <c r="G332" s="5" t="inlineStr">
        <is>
          <t>北揚夏川7華廈區</t>
        </is>
      </c>
      <c r="H332" s="5" t="inlineStr">
        <is>
          <t>北揚建設</t>
        </is>
      </c>
      <c r="I332" s="5" t="inlineStr"/>
      <c r="J332" s="5" t="inlineStr">
        <is>
          <t>24.95-34.88坪</t>
        </is>
      </c>
      <c r="K332" s="5" t="inlineStr">
        <is>
          <t>25.5萬/坪</t>
        </is>
      </c>
      <c r="L332" s="5" t="inlineStr"/>
      <c r="M332" s="5" t="inlineStr">
        <is>
          <t>預售</t>
        </is>
      </c>
      <c r="N332" s="5" t="inlineStr">
        <is>
          <t>L3</t>
        </is>
      </c>
      <c r="O332" s="5" t="inlineStr">
        <is>
          <t>https://www.leju.com.tw/community/L248151680a0b98</t>
        </is>
      </c>
    </row>
    <row r="333">
      <c r="A333" s="5" t="n">
        <v>332</v>
      </c>
      <c r="B333" s="5" t="inlineStr">
        <is>
          <t>臺南市</t>
        </is>
      </c>
      <c r="C333" s="5" t="inlineStr">
        <is>
          <t>A21005</t>
        </is>
      </c>
      <c r="D333" s="5" t="inlineStr">
        <is>
          <t>tainan</t>
        </is>
      </c>
      <c r="E333" s="5" t="inlineStr">
        <is>
          <t>歸仁公辦重劃</t>
        </is>
      </c>
      <c r="F333" s="5" t="inlineStr">
        <is>
          <t>公辦市地重劃</t>
        </is>
      </c>
      <c r="G333" s="5" t="inlineStr">
        <is>
          <t>遠雄明日讚</t>
        </is>
      </c>
      <c r="H333" s="5" t="inlineStr">
        <is>
          <t>遠雄建設</t>
        </is>
      </c>
      <c r="I333" s="5" t="inlineStr"/>
      <c r="J333" s="5" t="inlineStr"/>
      <c r="K333" s="5" t="inlineStr">
        <is>
          <t>34萬/坪</t>
        </is>
      </c>
      <c r="L333" s="5" t="inlineStr"/>
      <c r="M333" s="5" t="inlineStr">
        <is>
          <t>已完工</t>
        </is>
      </c>
      <c r="N333" s="5" t="inlineStr">
        <is>
          <t>L3</t>
        </is>
      </c>
      <c r="O333" s="5" t="inlineStr">
        <is>
          <t>https://community.houseprice.tw/building/144277/</t>
        </is>
      </c>
    </row>
    <row r="334">
      <c r="A334" s="5" t="n">
        <v>333</v>
      </c>
      <c r="B334" s="5" t="inlineStr">
        <is>
          <t>臺南市</t>
        </is>
      </c>
      <c r="C334" s="5" t="inlineStr">
        <is>
          <t>A21005</t>
        </is>
      </c>
      <c r="D334" s="5" t="inlineStr">
        <is>
          <t>tainan</t>
        </is>
      </c>
      <c r="E334" s="5" t="inlineStr">
        <is>
          <t>歸仁公辦重劃</t>
        </is>
      </c>
      <c r="F334" s="5" t="inlineStr">
        <is>
          <t>公辦市地重劃</t>
        </is>
      </c>
      <c r="G334" s="5" t="inlineStr">
        <is>
          <t>國家強棒</t>
        </is>
      </c>
      <c r="H334" s="5" t="inlineStr">
        <is>
          <t>達麗建設</t>
        </is>
      </c>
      <c r="I334" s="5" t="inlineStr"/>
      <c r="J334" s="5" t="inlineStr">
        <is>
          <t>21-37坪</t>
        </is>
      </c>
      <c r="K334" s="5" t="inlineStr"/>
      <c r="L334" s="5" t="inlineStr"/>
      <c r="M334" s="5" t="inlineStr"/>
      <c r="N334" s="5" t="inlineStr">
        <is>
          <t>L3</t>
        </is>
      </c>
      <c r="O334" s="5" t="inlineStr">
        <is>
          <t>https://tainan.housetube.tw/37306</t>
        </is>
      </c>
    </row>
    <row r="335">
      <c r="A335" s="5" t="n">
        <v>334</v>
      </c>
      <c r="B335" s="5" t="inlineStr">
        <is>
          <t>臺南市</t>
        </is>
      </c>
      <c r="C335" s="5" t="inlineStr">
        <is>
          <t>A21005</t>
        </is>
      </c>
      <c r="D335" s="5" t="inlineStr">
        <is>
          <t>tainan</t>
        </is>
      </c>
      <c r="E335" s="5" t="inlineStr">
        <is>
          <t>歸仁公辦重劃</t>
        </is>
      </c>
      <c r="F335" s="5" t="inlineStr">
        <is>
          <t>公辦市地重劃</t>
        </is>
      </c>
      <c r="G335" s="5" t="inlineStr">
        <is>
          <t>立體家庭大廈</t>
        </is>
      </c>
      <c r="H335" s="5" t="inlineStr"/>
      <c r="I335" s="5" t="inlineStr">
        <is>
          <t>147戶</t>
        </is>
      </c>
      <c r="J335" s="5" t="inlineStr">
        <is>
          <t>27-47坪</t>
        </is>
      </c>
      <c r="K335" s="5" t="inlineStr">
        <is>
          <t>20.8萬/坪</t>
        </is>
      </c>
      <c r="L335" s="5" t="inlineStr"/>
      <c r="M335" s="5" t="inlineStr">
        <is>
          <t>已完工</t>
        </is>
      </c>
      <c r="N335" s="5" t="inlineStr">
        <is>
          <t>L3</t>
        </is>
      </c>
      <c r="O335" s="5" t="inlineStr">
        <is>
          <t>https://community.houseprice.tw/list/%E5%8F%B0%E5%8D%97%E5%B8%82_city/%E6%AD%B8%E4%BB%81%E5%8D%80_zip/</t>
        </is>
      </c>
    </row>
    <row r="336">
      <c r="A336" s="5" t="n">
        <v>335</v>
      </c>
      <c r="B336" s="5" t="inlineStr">
        <is>
          <t>臺南市</t>
        </is>
      </c>
      <c r="C336" s="5" t="inlineStr">
        <is>
          <t>A21005</t>
        </is>
      </c>
      <c r="D336" s="5" t="inlineStr">
        <is>
          <t>tainan</t>
        </is>
      </c>
      <c r="E336" s="5" t="inlineStr">
        <is>
          <t>歸仁公辦重劃</t>
        </is>
      </c>
      <c r="F336" s="5" t="inlineStr">
        <is>
          <t>公辦市地重劃</t>
        </is>
      </c>
      <c r="G336" s="5" t="inlineStr">
        <is>
          <t>美樂地</t>
        </is>
      </c>
      <c r="H336" s="5" t="inlineStr">
        <is>
          <t>正光建設</t>
        </is>
      </c>
      <c r="I336" s="5" t="inlineStr"/>
      <c r="J336" s="5" t="inlineStr"/>
      <c r="K336" s="5" t="inlineStr"/>
      <c r="L336" s="5" t="inlineStr"/>
      <c r="M336" s="5" t="inlineStr"/>
      <c r="N336" s="5" t="inlineStr">
        <is>
          <t>L3</t>
        </is>
      </c>
      <c r="O336" s="5" t="inlineStr">
        <is>
          <t>https://tainan.housetube.tw/28346</t>
        </is>
      </c>
    </row>
    <row r="337">
      <c r="A337" s="5" t="n">
        <v>336</v>
      </c>
      <c r="B337" s="5" t="inlineStr">
        <is>
          <t>臺南市</t>
        </is>
      </c>
      <c r="C337" s="5" t="inlineStr">
        <is>
          <t>A21005</t>
        </is>
      </c>
      <c r="D337" s="5" t="inlineStr">
        <is>
          <t>tainan</t>
        </is>
      </c>
      <c r="E337" s="5" t="inlineStr">
        <is>
          <t>仁德公辦重劃</t>
        </is>
      </c>
      <c r="F337" s="5" t="inlineStr">
        <is>
          <t>公辦市地重劃</t>
        </is>
      </c>
      <c r="G337" s="5" t="inlineStr">
        <is>
          <t>city漾</t>
        </is>
      </c>
      <c r="H337" s="5" t="inlineStr">
        <is>
          <t>舜第建設</t>
        </is>
      </c>
      <c r="I337" s="5" t="inlineStr"/>
      <c r="J337" s="5" t="inlineStr">
        <is>
          <t>23.6-31.6坪</t>
        </is>
      </c>
      <c r="K337" s="5" t="inlineStr"/>
      <c r="L337" s="5" t="inlineStr"/>
      <c r="M337" s="5" t="inlineStr"/>
      <c r="N337" s="5" t="inlineStr">
        <is>
          <t>L3</t>
        </is>
      </c>
      <c r="O337" s="5" t="inlineStr">
        <is>
          <t>https://tainan.housetube.tw/35373</t>
        </is>
      </c>
    </row>
    <row r="338">
      <c r="A338" s="5" t="n">
        <v>337</v>
      </c>
      <c r="B338" s="5" t="inlineStr">
        <is>
          <t>臺南市</t>
        </is>
      </c>
      <c r="C338" s="5" t="inlineStr">
        <is>
          <t>A21005</t>
        </is>
      </c>
      <c r="D338" s="5" t="inlineStr">
        <is>
          <t>tainan</t>
        </is>
      </c>
      <c r="E338" s="5" t="inlineStr">
        <is>
          <t>仁德公辦重劃</t>
        </is>
      </c>
      <c r="F338" s="5" t="inlineStr">
        <is>
          <t>公辦市地重劃</t>
        </is>
      </c>
      <c r="G338" s="5" t="inlineStr">
        <is>
          <t>仁德二空新村B區公辦都更</t>
        </is>
      </c>
      <c r="H338" s="5" t="inlineStr"/>
      <c r="I338" s="5" t="inlineStr">
        <is>
          <t>170戶</t>
        </is>
      </c>
      <c r="J338" s="5" t="inlineStr"/>
      <c r="K338" s="5" t="inlineStr"/>
      <c r="L338" s="5" t="inlineStr">
        <is>
          <t>2026</t>
        </is>
      </c>
      <c r="M338" s="5" t="inlineStr">
        <is>
          <t>交屋中</t>
        </is>
      </c>
      <c r="N338" s="5" t="inlineStr">
        <is>
          <t>L1</t>
        </is>
      </c>
      <c r="O338" s="5" t="inlineStr">
        <is>
          <t>https://www.tnh.org.tw/news.asp?ID=11668</t>
        </is>
      </c>
    </row>
    <row r="339">
      <c r="A339" s="5" t="n">
        <v>338</v>
      </c>
      <c r="B339" s="5" t="inlineStr">
        <is>
          <t>臺南市</t>
        </is>
      </c>
      <c r="C339" s="5" t="inlineStr">
        <is>
          <t>A21005</t>
        </is>
      </c>
      <c r="D339" s="5" t="inlineStr">
        <is>
          <t>tainan</t>
        </is>
      </c>
      <c r="E339" s="5" t="inlineStr">
        <is>
          <t>安南自辦重劃群</t>
        </is>
      </c>
      <c r="F339" s="5" t="inlineStr">
        <is>
          <t>自辦市地重劃</t>
        </is>
      </c>
      <c r="G339" s="5" t="inlineStr">
        <is>
          <t>臻幸福</t>
        </is>
      </c>
      <c r="H339" s="5" t="inlineStr">
        <is>
          <t>利翰建設</t>
        </is>
      </c>
      <c r="I339" s="5" t="inlineStr">
        <is>
          <t>16戶</t>
        </is>
      </c>
      <c r="J339" s="5" t="inlineStr">
        <is>
          <t>地坪27-32坪/建坪52-58坪</t>
        </is>
      </c>
      <c r="K339" s="5" t="inlineStr"/>
      <c r="L339" s="5" t="inlineStr"/>
      <c r="M339" s="5" t="inlineStr"/>
      <c r="N339" s="5" t="inlineStr">
        <is>
          <t>L3</t>
        </is>
      </c>
      <c r="O339" s="5" t="inlineStr">
        <is>
          <t>https://tainan.housetube.tw/39928</t>
        </is>
      </c>
    </row>
    <row r="340">
      <c r="A340" s="5" t="n">
        <v>339</v>
      </c>
      <c r="B340" s="5" t="inlineStr">
        <is>
          <t>臺南市</t>
        </is>
      </c>
      <c r="C340" s="5" t="inlineStr">
        <is>
          <t>A21005</t>
        </is>
      </c>
      <c r="D340" s="5" t="inlineStr">
        <is>
          <t>tainan</t>
        </is>
      </c>
      <c r="E340" s="5" t="inlineStr">
        <is>
          <t>安南自辦重劃群</t>
        </is>
      </c>
      <c r="F340" s="5" t="inlineStr">
        <is>
          <t>自辦市地重劃</t>
        </is>
      </c>
      <c r="G340" s="5" t="inlineStr">
        <is>
          <t>柏慶富御</t>
        </is>
      </c>
      <c r="H340" s="5" t="inlineStr">
        <is>
          <t>柏慶建設</t>
        </is>
      </c>
      <c r="I340" s="5" t="inlineStr"/>
      <c r="J340" s="5" t="inlineStr">
        <is>
          <t>地坪22.9-50.7坪/建坪47.8-82.1坪</t>
        </is>
      </c>
      <c r="K340" s="5" t="inlineStr"/>
      <c r="L340" s="5" t="inlineStr"/>
      <c r="M340" s="5" t="inlineStr"/>
      <c r="N340" s="5" t="inlineStr">
        <is>
          <t>L3</t>
        </is>
      </c>
      <c r="O340" s="5" t="inlineStr">
        <is>
          <t>https://tainan.housetube.tw/36298</t>
        </is>
      </c>
    </row>
    <row r="341">
      <c r="A341" s="5" t="n">
        <v>340</v>
      </c>
      <c r="B341" s="5" t="inlineStr">
        <is>
          <t>臺南市</t>
        </is>
      </c>
      <c r="C341" s="5" t="inlineStr">
        <is>
          <t>A21005</t>
        </is>
      </c>
      <c r="D341" s="5" t="inlineStr">
        <is>
          <t>tainan</t>
        </is>
      </c>
      <c r="E341" s="5" t="inlineStr">
        <is>
          <t>九份子特區</t>
        </is>
      </c>
      <c r="F341" s="5" t="inlineStr">
        <is>
          <t>區段徵收</t>
        </is>
      </c>
      <c r="G341" s="5" t="inlineStr">
        <is>
          <t>連建拾初</t>
        </is>
      </c>
      <c r="H341" s="5" t="inlineStr">
        <is>
          <t>連建建設</t>
        </is>
      </c>
      <c r="I341" s="5" t="inlineStr"/>
      <c r="J341" s="5" t="inlineStr"/>
      <c r="K341" s="5" t="inlineStr"/>
      <c r="L341" s="5" t="inlineStr"/>
      <c r="M341" s="5" t="inlineStr">
        <is>
          <t>預售</t>
        </is>
      </c>
      <c r="N341" s="5" t="inlineStr">
        <is>
          <t>L3</t>
        </is>
      </c>
      <c r="O341" s="5" t="inlineStr">
        <is>
          <t>https://knowhouse.tw/area_tags/d7c842</t>
        </is>
      </c>
    </row>
    <row r="342">
      <c r="A342" s="5" t="n">
        <v>341</v>
      </c>
      <c r="B342" s="5" t="inlineStr">
        <is>
          <t>臺南市</t>
        </is>
      </c>
      <c r="C342" s="5" t="inlineStr">
        <is>
          <t>A21005</t>
        </is>
      </c>
      <c r="D342" s="5" t="inlineStr">
        <is>
          <t>tainan</t>
        </is>
      </c>
      <c r="E342" s="5" t="inlineStr">
        <is>
          <t>九份子特區</t>
        </is>
      </c>
      <c r="F342" s="5" t="inlineStr">
        <is>
          <t>區段徵收</t>
        </is>
      </c>
      <c r="G342" s="5" t="inlineStr">
        <is>
          <t>連建拾穗BC區</t>
        </is>
      </c>
      <c r="H342" s="5" t="inlineStr">
        <is>
          <t>連建建設</t>
        </is>
      </c>
      <c r="I342" s="5" t="inlineStr">
        <is>
          <t>12戶</t>
        </is>
      </c>
      <c r="J342" s="5" t="inlineStr">
        <is>
          <t>85.41-97.06坪</t>
        </is>
      </c>
      <c r="K342" s="5" t="inlineStr"/>
      <c r="L342" s="5" t="inlineStr"/>
      <c r="M342" s="5" t="inlineStr">
        <is>
          <t>已完工</t>
        </is>
      </c>
      <c r="N342" s="5" t="inlineStr">
        <is>
          <t>L3</t>
        </is>
      </c>
      <c r="O342" s="5" t="inlineStr">
        <is>
          <t>https://community.houseprice.tw/list/%E5%8F%B0%E5%8D%97%E5%B8%82_city/%E5%AE%89%E5%8D%97%E5%8D%80_zip/%E6%A8%82%E6%B4%BB%E4%BA%8C%E5%8D%81%E4%BA%8C%E8%A1%97_kw/</t>
        </is>
      </c>
    </row>
    <row r="343">
      <c r="A343" s="5" t="n">
        <v>342</v>
      </c>
      <c r="B343" s="5" t="inlineStr">
        <is>
          <t>臺南市</t>
        </is>
      </c>
      <c r="C343" s="5" t="inlineStr">
        <is>
          <t>A21005</t>
        </is>
      </c>
      <c r="D343" s="5" t="inlineStr">
        <is>
          <t>tainan</t>
        </is>
      </c>
      <c r="E343" s="5" t="inlineStr">
        <is>
          <t>九份子特區</t>
        </is>
      </c>
      <c r="F343" s="5" t="inlineStr">
        <is>
          <t>區段徵收</t>
        </is>
      </c>
      <c r="G343" s="5" t="inlineStr">
        <is>
          <t>淳境九份子</t>
        </is>
      </c>
      <c r="H343" s="5" t="inlineStr"/>
      <c r="I343" s="5" t="inlineStr">
        <is>
          <t>7戶</t>
        </is>
      </c>
      <c r="J343" s="5" t="inlineStr"/>
      <c r="K343" s="5" t="inlineStr">
        <is>
          <t>37萬/坪</t>
        </is>
      </c>
      <c r="L343" s="5" t="inlineStr"/>
      <c r="M343" s="5" t="inlineStr">
        <is>
          <t>已完工</t>
        </is>
      </c>
      <c r="N343" s="5" t="inlineStr">
        <is>
          <t>L3</t>
        </is>
      </c>
      <c r="O343" s="5" t="inlineStr">
        <is>
          <t>https://market.591.com.tw/5868718</t>
        </is>
      </c>
    </row>
    <row r="344">
      <c r="A344" s="5" t="n">
        <v>343</v>
      </c>
      <c r="B344" s="5" t="inlineStr">
        <is>
          <t>臺南市</t>
        </is>
      </c>
      <c r="C344" s="5" t="inlineStr">
        <is>
          <t>A21005</t>
        </is>
      </c>
      <c r="D344" s="5" t="inlineStr">
        <is>
          <t>tainan</t>
        </is>
      </c>
      <c r="E344" s="5" t="inlineStr">
        <is>
          <t>九份子特區</t>
        </is>
      </c>
      <c r="F344" s="5" t="inlineStr">
        <is>
          <t>區段徵收</t>
        </is>
      </c>
      <c r="G344" s="5" t="inlineStr">
        <is>
          <t>九份樂活居</t>
        </is>
      </c>
      <c r="H344" s="5" t="inlineStr">
        <is>
          <t>一等建設</t>
        </is>
      </c>
      <c r="I344" s="5" t="inlineStr"/>
      <c r="J344" s="5" t="inlineStr">
        <is>
          <t>地坪25.8-31坪/建坪61-70坪</t>
        </is>
      </c>
      <c r="K344" s="5" t="inlineStr"/>
      <c r="L344" s="5" t="inlineStr"/>
      <c r="M344" s="5" t="inlineStr"/>
      <c r="N344" s="5" t="inlineStr">
        <is>
          <t>L3</t>
        </is>
      </c>
      <c r="O344" s="5" t="inlineStr">
        <is>
          <t>https://tainan.housetube.tw/34080</t>
        </is>
      </c>
    </row>
    <row r="345">
      <c r="A345" s="5" t="n">
        <v>344</v>
      </c>
      <c r="B345" s="5" t="inlineStr">
        <is>
          <t>臺南市</t>
        </is>
      </c>
      <c r="C345" s="5" t="inlineStr">
        <is>
          <t>A21005</t>
        </is>
      </c>
      <c r="D345" s="5" t="inlineStr">
        <is>
          <t>tainan</t>
        </is>
      </c>
      <c r="E345" s="5" t="inlineStr">
        <is>
          <t>九份子特區</t>
        </is>
      </c>
      <c r="F345" s="5" t="inlineStr">
        <is>
          <t>區段徵收</t>
        </is>
      </c>
      <c r="G345" s="5" t="inlineStr">
        <is>
          <t>悅河恬</t>
        </is>
      </c>
      <c r="H345" s="5" t="inlineStr">
        <is>
          <t>台邦建設</t>
        </is>
      </c>
      <c r="I345" s="5" t="inlineStr"/>
      <c r="J345" s="5" t="inlineStr"/>
      <c r="K345" s="5" t="inlineStr"/>
      <c r="L345" s="5" t="inlineStr"/>
      <c r="M345" s="5" t="inlineStr"/>
      <c r="N345" s="5" t="inlineStr">
        <is>
          <t>L3</t>
        </is>
      </c>
      <c r="O345" s="5" t="inlineStr">
        <is>
          <t>https://tainan.housetube.tw/34615</t>
        </is>
      </c>
    </row>
    <row r="346">
      <c r="A346" s="5" t="n">
        <v>345</v>
      </c>
      <c r="B346" s="5" t="inlineStr">
        <is>
          <t>臺南市</t>
        </is>
      </c>
      <c r="C346" s="5" t="inlineStr">
        <is>
          <t>A21005</t>
        </is>
      </c>
      <c r="D346" s="5" t="inlineStr">
        <is>
          <t>tainan</t>
        </is>
      </c>
      <c r="E346" s="5" t="inlineStr">
        <is>
          <t>九份子特區</t>
        </is>
      </c>
      <c r="F346" s="5" t="inlineStr">
        <is>
          <t>區段徵收</t>
        </is>
      </c>
      <c r="G346" s="5" t="inlineStr">
        <is>
          <t>悅讀耶魯</t>
        </is>
      </c>
      <c r="H346" s="5" t="inlineStr">
        <is>
          <t>金駿營造(興富發集團)</t>
        </is>
      </c>
      <c r="I346" s="5" t="inlineStr">
        <is>
          <t>797戶</t>
        </is>
      </c>
      <c r="J346" s="5" t="inlineStr">
        <is>
          <t>31.9-48坪</t>
        </is>
      </c>
      <c r="K346" s="5" t="inlineStr"/>
      <c r="L346" s="5" t="inlineStr">
        <is>
          <t>2025</t>
        </is>
      </c>
      <c r="M346" s="5" t="inlineStr">
        <is>
          <t>銷售中</t>
        </is>
      </c>
      <c r="N346" s="5" t="inlineStr">
        <is>
          <t>L3</t>
        </is>
      </c>
      <c r="O346" s="5" t="inlineStr">
        <is>
          <t>https://www.bigmedia.com.tw/article/1759032003198</t>
        </is>
      </c>
    </row>
    <row r="347">
      <c r="A347" s="5" t="n">
        <v>346</v>
      </c>
      <c r="B347" s="5" t="inlineStr">
        <is>
          <t>臺南市</t>
        </is>
      </c>
      <c r="C347" s="5" t="inlineStr">
        <is>
          <t>A21005</t>
        </is>
      </c>
      <c r="D347" s="5" t="inlineStr">
        <is>
          <t>tainan</t>
        </is>
      </c>
      <c r="E347" s="5" t="inlineStr">
        <is>
          <t>九份子特區</t>
        </is>
      </c>
      <c r="F347" s="5" t="inlineStr">
        <is>
          <t>區段徵收</t>
        </is>
      </c>
      <c r="G347" s="5" t="inlineStr">
        <is>
          <t>天席</t>
        </is>
      </c>
      <c r="H347" s="5" t="inlineStr">
        <is>
          <t>皇龍建設</t>
        </is>
      </c>
      <c r="I347" s="5" t="inlineStr"/>
      <c r="J347" s="5" t="inlineStr"/>
      <c r="K347" s="5" t="inlineStr"/>
      <c r="L347" s="5" t="inlineStr">
        <is>
          <t>2019</t>
        </is>
      </c>
      <c r="M347" s="5" t="inlineStr">
        <is>
          <t>已完工</t>
        </is>
      </c>
      <c r="N347" s="5" t="inlineStr">
        <is>
          <t>L3</t>
        </is>
      </c>
      <c r="O347" s="5" t="inlineStr">
        <is>
          <t>https://blog.housetube.tw/tag/%E5%A4%A9%E5%B8%AD</t>
        </is>
      </c>
    </row>
    <row r="348">
      <c r="A348" s="5" t="n">
        <v>347</v>
      </c>
      <c r="B348" s="5" t="inlineStr">
        <is>
          <t>臺南市</t>
        </is>
      </c>
      <c r="C348" s="5" t="inlineStr">
        <is>
          <t>A21005</t>
        </is>
      </c>
      <c r="D348" s="5" t="inlineStr">
        <is>
          <t>tainan</t>
        </is>
      </c>
      <c r="E348" s="5" t="inlineStr">
        <is>
          <t>九份子特區</t>
        </is>
      </c>
      <c r="F348" s="5" t="inlineStr">
        <is>
          <t>區段徵收</t>
        </is>
      </c>
      <c r="G348" s="5" t="inlineStr">
        <is>
          <t>咏泉津</t>
        </is>
      </c>
      <c r="H348" s="5" t="inlineStr">
        <is>
          <t>筑立建業</t>
        </is>
      </c>
      <c r="I348" s="5" t="inlineStr">
        <is>
          <t>133戶</t>
        </is>
      </c>
      <c r="J348" s="5" t="inlineStr">
        <is>
          <t>33-51坪</t>
        </is>
      </c>
      <c r="K348" s="5" t="inlineStr"/>
      <c r="L348" s="5" t="inlineStr"/>
      <c r="M348" s="5" t="inlineStr"/>
      <c r="N348" s="5" t="inlineStr">
        <is>
          <t>L3</t>
        </is>
      </c>
      <c r="O348" s="5" t="inlineStr">
        <is>
          <t>https://tainan.housetube.tw/31122</t>
        </is>
      </c>
    </row>
    <row r="349">
      <c r="A349" s="5" t="n">
        <v>348</v>
      </c>
      <c r="B349" s="5" t="inlineStr">
        <is>
          <t>臺南市</t>
        </is>
      </c>
      <c r="C349" s="5" t="inlineStr">
        <is>
          <t>A21005</t>
        </is>
      </c>
      <c r="D349" s="5" t="inlineStr">
        <is>
          <t>tainan</t>
        </is>
      </c>
      <c r="E349" s="5" t="inlineStr">
        <is>
          <t>九份子特區</t>
        </is>
      </c>
      <c r="F349" s="5" t="inlineStr">
        <is>
          <t>區段徵收</t>
        </is>
      </c>
      <c r="G349" s="5" t="inlineStr">
        <is>
          <t>水岸青</t>
        </is>
      </c>
      <c r="H349" s="5" t="inlineStr"/>
      <c r="I349" s="5" t="inlineStr"/>
      <c r="J349" s="5" t="inlineStr"/>
      <c r="K349" s="5" t="inlineStr"/>
      <c r="L349" s="5" t="inlineStr">
        <is>
          <t>2019</t>
        </is>
      </c>
      <c r="M349" s="5" t="inlineStr">
        <is>
          <t>已完銷</t>
        </is>
      </c>
      <c r="N349" s="5" t="inlineStr">
        <is>
          <t>L3</t>
        </is>
      </c>
      <c r="O349" s="5" t="inlineStr">
        <is>
          <t>https://news.housetube.tw/tag/%E4%B9%9D%E4%BB%BD%E5%AD%90%E9%87%8D%E5%8A%83%E5%8D%80</t>
        </is>
      </c>
    </row>
    <row r="350">
      <c r="A350" s="5" t="n">
        <v>349</v>
      </c>
      <c r="B350" s="5" t="inlineStr">
        <is>
          <t>臺南市</t>
        </is>
      </c>
      <c r="C350" s="5" t="inlineStr">
        <is>
          <t>A21005</t>
        </is>
      </c>
      <c r="D350" s="5" t="inlineStr">
        <is>
          <t>tainan</t>
        </is>
      </c>
      <c r="E350" s="5" t="inlineStr">
        <is>
          <t>九份子特區</t>
        </is>
      </c>
      <c r="F350" s="5" t="inlineStr">
        <is>
          <t>區段徵收</t>
        </is>
      </c>
      <c r="G350" s="5" t="inlineStr">
        <is>
          <t>九硯the Villa5</t>
        </is>
      </c>
      <c r="H350" s="5" t="inlineStr">
        <is>
          <t>九硯建設</t>
        </is>
      </c>
      <c r="I350" s="5" t="inlineStr"/>
      <c r="J350" s="5" t="inlineStr">
        <is>
          <t>建坪87-89坪</t>
        </is>
      </c>
      <c r="K350" s="5" t="inlineStr"/>
      <c r="L350" s="5" t="inlineStr"/>
      <c r="M350" s="5" t="inlineStr">
        <is>
          <t>已完工</t>
        </is>
      </c>
      <c r="N350" s="5" t="inlineStr">
        <is>
          <t>L3</t>
        </is>
      </c>
      <c r="O350" s="5" t="inlineStr">
        <is>
          <t>https://tainan.housetube.tw/36276</t>
        </is>
      </c>
    </row>
    <row r="351">
      <c r="A351" s="5" t="n">
        <v>350</v>
      </c>
      <c r="B351" s="5" t="inlineStr">
        <is>
          <t>臺南市</t>
        </is>
      </c>
      <c r="C351" s="5" t="inlineStr">
        <is>
          <t>A21005</t>
        </is>
      </c>
      <c r="D351" s="5" t="inlineStr">
        <is>
          <t>tainan</t>
        </is>
      </c>
      <c r="E351" s="5" t="inlineStr">
        <is>
          <t>九份子特區</t>
        </is>
      </c>
      <c r="F351" s="5" t="inlineStr">
        <is>
          <t>區段徵收</t>
        </is>
      </c>
      <c r="G351" s="5" t="inlineStr">
        <is>
          <t>連建拾美</t>
        </is>
      </c>
      <c r="H351" s="5" t="inlineStr">
        <is>
          <t>連建建設</t>
        </is>
      </c>
      <c r="I351" s="5" t="inlineStr"/>
      <c r="J351" s="5" t="inlineStr">
        <is>
          <t>地坪26-37坪/建坪62-83坪</t>
        </is>
      </c>
      <c r="K351" s="5" t="inlineStr"/>
      <c r="L351" s="5" t="inlineStr"/>
      <c r="M351" s="5" t="inlineStr">
        <is>
          <t>已完銷</t>
        </is>
      </c>
      <c r="N351" s="5" t="inlineStr">
        <is>
          <t>L3</t>
        </is>
      </c>
      <c r="O351" s="5" t="inlineStr">
        <is>
          <t>https://knowhouse.tw/4331</t>
        </is>
      </c>
    </row>
    <row r="352">
      <c r="A352" s="5" t="n">
        <v>351</v>
      </c>
      <c r="B352" s="5" t="inlineStr">
        <is>
          <t>臺南市</t>
        </is>
      </c>
      <c r="C352" s="5" t="inlineStr">
        <is>
          <t>A21005</t>
        </is>
      </c>
      <c r="D352" s="5" t="inlineStr">
        <is>
          <t>tainan</t>
        </is>
      </c>
      <c r="E352" s="5" t="inlineStr">
        <is>
          <t>九份子特區</t>
        </is>
      </c>
      <c r="F352" s="5" t="inlineStr">
        <is>
          <t>區段徵收</t>
        </is>
      </c>
      <c r="G352" s="5" t="inlineStr">
        <is>
          <t>連建拾泉</t>
        </is>
      </c>
      <c r="H352" s="5" t="inlineStr">
        <is>
          <t>連建建設</t>
        </is>
      </c>
      <c r="I352" s="5" t="inlineStr"/>
      <c r="J352" s="5" t="inlineStr">
        <is>
          <t>地坪30-47坪/建坪70-79坪</t>
        </is>
      </c>
      <c r="K352" s="5" t="inlineStr"/>
      <c r="L352" s="5" t="inlineStr"/>
      <c r="M352" s="5" t="inlineStr">
        <is>
          <t>已完銷</t>
        </is>
      </c>
      <c r="N352" s="5" t="inlineStr">
        <is>
          <t>L3</t>
        </is>
      </c>
      <c r="O352" s="5" t="inlineStr">
        <is>
          <t>https://knowhouse.tw/3966</t>
        </is>
      </c>
    </row>
    <row r="353">
      <c r="A353" s="5" t="n">
        <v>352</v>
      </c>
      <c r="B353" s="5" t="inlineStr">
        <is>
          <t>臺南市</t>
        </is>
      </c>
      <c r="C353" s="5" t="inlineStr">
        <is>
          <t>A21005</t>
        </is>
      </c>
      <c r="D353" s="5" t="inlineStr">
        <is>
          <t>tainan</t>
        </is>
      </c>
      <c r="E353" s="5" t="inlineStr">
        <is>
          <t>南科特定區</t>
        </is>
      </c>
      <c r="F353" s="5" t="inlineStr">
        <is>
          <t>區段徵收</t>
        </is>
      </c>
      <c r="G353" s="5" t="inlineStr">
        <is>
          <t>麗欣興華苑</t>
        </is>
      </c>
      <c r="H353" s="5" t="inlineStr">
        <is>
          <t>麗欣建設</t>
        </is>
      </c>
      <c r="I353" s="5" t="inlineStr"/>
      <c r="J353" s="5" t="inlineStr"/>
      <c r="K353" s="5" t="inlineStr"/>
      <c r="L353" s="5" t="inlineStr"/>
      <c r="M353" s="5" t="inlineStr"/>
      <c r="N353" s="5" t="inlineStr">
        <is>
          <t>L3</t>
        </is>
      </c>
      <c r="O353" s="5" t="inlineStr">
        <is>
          <t>https://tainan.housetube.tw/48997</t>
        </is>
      </c>
    </row>
    <row r="354">
      <c r="A354" s="5" t="n">
        <v>353</v>
      </c>
      <c r="B354" s="5" t="inlineStr">
        <is>
          <t>臺南市</t>
        </is>
      </c>
      <c r="C354" s="5" t="inlineStr">
        <is>
          <t>A21005</t>
        </is>
      </c>
      <c r="D354" s="5" t="inlineStr">
        <is>
          <t>tainan</t>
        </is>
      </c>
      <c r="E354" s="5" t="inlineStr">
        <is>
          <t>南科特定區</t>
        </is>
      </c>
      <c r="F354" s="5" t="inlineStr">
        <is>
          <t>區段徵收</t>
        </is>
      </c>
      <c r="G354" s="5" t="inlineStr">
        <is>
          <t>桂田磐古2</t>
        </is>
      </c>
      <c r="H354" s="5" t="inlineStr">
        <is>
          <t>桂田集團</t>
        </is>
      </c>
      <c r="I354" s="5" t="inlineStr"/>
      <c r="J354" s="5" t="inlineStr">
        <is>
          <t>22-47坪</t>
        </is>
      </c>
      <c r="K354" s="5" t="inlineStr"/>
      <c r="L354" s="5" t="inlineStr"/>
      <c r="M354" s="5" t="inlineStr"/>
      <c r="N354" s="5" t="inlineStr">
        <is>
          <t>L3</t>
        </is>
      </c>
      <c r="O354" s="5" t="inlineStr">
        <is>
          <t>https://tainan.housetube.tw/39439</t>
        </is>
      </c>
    </row>
    <row r="355">
      <c r="A355" s="5" t="n">
        <v>354</v>
      </c>
      <c r="B355" s="5" t="inlineStr">
        <is>
          <t>臺南市</t>
        </is>
      </c>
      <c r="C355" s="5" t="inlineStr">
        <is>
          <t>A21005</t>
        </is>
      </c>
      <c r="D355" s="5" t="inlineStr">
        <is>
          <t>tainan</t>
        </is>
      </c>
      <c r="E355" s="5" t="inlineStr">
        <is>
          <t>南科特定區</t>
        </is>
      </c>
      <c r="F355" s="5" t="inlineStr">
        <is>
          <t>區段徵收</t>
        </is>
      </c>
      <c r="G355" s="5" t="inlineStr">
        <is>
          <t>皇邑</t>
        </is>
      </c>
      <c r="H355" s="5" t="inlineStr">
        <is>
          <t>台易建設</t>
        </is>
      </c>
      <c r="I355" s="5" t="inlineStr">
        <is>
          <t>43戶</t>
        </is>
      </c>
      <c r="J355" s="5" t="inlineStr">
        <is>
          <t>23-31坪</t>
        </is>
      </c>
      <c r="K355" s="5" t="inlineStr">
        <is>
          <t>28-31.5萬/坪</t>
        </is>
      </c>
      <c r="L355" s="5" t="inlineStr"/>
      <c r="M355" s="5" t="inlineStr">
        <is>
          <t>銷售中</t>
        </is>
      </c>
      <c r="N355" s="5" t="inlineStr">
        <is>
          <t>L3</t>
        </is>
      </c>
      <c r="O355" s="5" t="inlineStr">
        <is>
          <t>https://community.houseprice.tw/building/146198/</t>
        </is>
      </c>
    </row>
    <row r="356">
      <c r="A356" s="5" t="n">
        <v>355</v>
      </c>
      <c r="B356" s="5" t="inlineStr">
        <is>
          <t>臺南市</t>
        </is>
      </c>
      <c r="C356" s="5" t="inlineStr">
        <is>
          <t>A21005</t>
        </is>
      </c>
      <c r="D356" s="5" t="inlineStr">
        <is>
          <t>tainan</t>
        </is>
      </c>
      <c r="E356" s="5" t="inlineStr">
        <is>
          <t>南科特定區</t>
        </is>
      </c>
      <c r="F356" s="5" t="inlineStr">
        <is>
          <t>區段徵收</t>
        </is>
      </c>
      <c r="G356" s="5" t="inlineStr">
        <is>
          <t>奇詮齊全2</t>
        </is>
      </c>
      <c r="H356" s="5" t="inlineStr">
        <is>
          <t>奇詮開發建設</t>
        </is>
      </c>
      <c r="I356" s="5" t="inlineStr"/>
      <c r="J356" s="5" t="inlineStr">
        <is>
          <t>32.41-39.01坪</t>
        </is>
      </c>
      <c r="K356" s="5" t="inlineStr">
        <is>
          <t>29萬/坪起</t>
        </is>
      </c>
      <c r="L356" s="5" t="inlineStr"/>
      <c r="M356" s="5" t="inlineStr">
        <is>
          <t>已完工</t>
        </is>
      </c>
      <c r="N356" s="5" t="inlineStr">
        <is>
          <t>L3</t>
        </is>
      </c>
      <c r="O356" s="5" t="inlineStr">
        <is>
          <t>https://tainan.housetube.tw/41683</t>
        </is>
      </c>
    </row>
    <row r="357">
      <c r="A357" s="5" t="n">
        <v>356</v>
      </c>
      <c r="B357" s="5" t="inlineStr">
        <is>
          <t>臺南市</t>
        </is>
      </c>
      <c r="C357" s="5" t="inlineStr">
        <is>
          <t>A21005</t>
        </is>
      </c>
      <c r="D357" s="5" t="inlineStr">
        <is>
          <t>tainan</t>
        </is>
      </c>
      <c r="E357" s="5" t="inlineStr">
        <is>
          <t>南科特定區</t>
        </is>
      </c>
      <c r="F357" s="5" t="inlineStr">
        <is>
          <t>區段徵收</t>
        </is>
      </c>
      <c r="G357" s="5" t="inlineStr">
        <is>
          <t>宇成植在</t>
        </is>
      </c>
      <c r="H357" s="5" t="inlineStr">
        <is>
          <t>宇晨建設</t>
        </is>
      </c>
      <c r="I357" s="5" t="inlineStr">
        <is>
          <t>72戶</t>
        </is>
      </c>
      <c r="J357" s="5" t="inlineStr">
        <is>
          <t>25-36坪</t>
        </is>
      </c>
      <c r="K357" s="5" t="inlineStr">
        <is>
          <t>40.8萬/坪</t>
        </is>
      </c>
      <c r="L357" s="5" t="inlineStr"/>
      <c r="M357" s="5" t="inlineStr">
        <is>
          <t>已完銷</t>
        </is>
      </c>
      <c r="N357" s="5" t="inlineStr">
        <is>
          <t>L3</t>
        </is>
      </c>
      <c r="O357" s="5" t="inlineStr">
        <is>
          <t>https://tainan.housetube.tw/46904</t>
        </is>
      </c>
    </row>
    <row r="358">
      <c r="A358" s="5" t="n">
        <v>357</v>
      </c>
      <c r="B358" s="5" t="inlineStr">
        <is>
          <t>臺南市</t>
        </is>
      </c>
      <c r="C358" s="5" t="inlineStr">
        <is>
          <t>A21005</t>
        </is>
      </c>
      <c r="D358" s="5" t="inlineStr">
        <is>
          <t>tainan</t>
        </is>
      </c>
      <c r="E358" s="5" t="inlineStr">
        <is>
          <t>南科特定區</t>
        </is>
      </c>
      <c r="F358" s="5" t="inlineStr">
        <is>
          <t>區段徵收</t>
        </is>
      </c>
      <c r="G358" s="5" t="inlineStr">
        <is>
          <t>宇成植感</t>
        </is>
      </c>
      <c r="H358" s="5" t="inlineStr">
        <is>
          <t>宇成建築</t>
        </is>
      </c>
      <c r="I358" s="5" t="inlineStr"/>
      <c r="J358" s="5" t="inlineStr">
        <is>
          <t>25-35坪</t>
        </is>
      </c>
      <c r="K358" s="5" t="inlineStr">
        <is>
          <t>40萬/坪起</t>
        </is>
      </c>
      <c r="L358" s="5" t="inlineStr"/>
      <c r="M358" s="5" t="inlineStr">
        <is>
          <t>預售</t>
        </is>
      </c>
      <c r="N358" s="5" t="inlineStr">
        <is>
          <t>L3</t>
        </is>
      </c>
      <c r="O358" s="5" t="inlineStr">
        <is>
          <t>https://tainan.housetube.tw/m6845</t>
        </is>
      </c>
    </row>
    <row r="359">
      <c r="A359" s="5" t="n">
        <v>358</v>
      </c>
      <c r="B359" s="5" t="inlineStr">
        <is>
          <t>臺南市</t>
        </is>
      </c>
      <c r="C359" s="5" t="inlineStr">
        <is>
          <t>A21005</t>
        </is>
      </c>
      <c r="D359" s="5" t="inlineStr">
        <is>
          <t>tainan</t>
        </is>
      </c>
      <c r="E359" s="5" t="inlineStr">
        <is>
          <t>南科特定區</t>
        </is>
      </c>
      <c r="F359" s="5" t="inlineStr">
        <is>
          <t>區段徵收</t>
        </is>
      </c>
      <c r="G359" s="5" t="inlineStr">
        <is>
          <t>吾映良品13</t>
        </is>
      </c>
      <c r="H359" s="5" t="inlineStr">
        <is>
          <t>京杭建設</t>
        </is>
      </c>
      <c r="I359" s="5" t="inlineStr"/>
      <c r="J359" s="5" t="inlineStr">
        <is>
          <t>地坪17-29坪/建坪42-52坪</t>
        </is>
      </c>
      <c r="K359" s="5" t="inlineStr"/>
      <c r="L359" s="5" t="inlineStr"/>
      <c r="M359" s="5" t="inlineStr"/>
      <c r="N359" s="5" t="inlineStr">
        <is>
          <t>L3</t>
        </is>
      </c>
      <c r="O359" s="5" t="inlineStr">
        <is>
          <t>https://tainan.housetube.tw/36211</t>
        </is>
      </c>
    </row>
    <row r="360">
      <c r="A360" s="5" t="n">
        <v>359</v>
      </c>
      <c r="B360" s="5" t="inlineStr">
        <is>
          <t>臺南市</t>
        </is>
      </c>
      <c r="C360" s="5" t="inlineStr">
        <is>
          <t>A21005</t>
        </is>
      </c>
      <c r="D360" s="5" t="inlineStr">
        <is>
          <t>tainan</t>
        </is>
      </c>
      <c r="E360" s="5" t="inlineStr">
        <is>
          <t>南科特定區</t>
        </is>
      </c>
      <c r="F360" s="5" t="inlineStr">
        <is>
          <t>區段徵收</t>
        </is>
      </c>
      <c r="G360" s="5" t="inlineStr">
        <is>
          <t>新市.南科</t>
        </is>
      </c>
      <c r="H360" s="5" t="inlineStr">
        <is>
          <t>達億建設</t>
        </is>
      </c>
      <c r="I360" s="5" t="inlineStr"/>
      <c r="J360" s="5" t="inlineStr">
        <is>
          <t>地坪26-56坪</t>
        </is>
      </c>
      <c r="K360" s="5" t="inlineStr"/>
      <c r="L360" s="5" t="inlineStr"/>
      <c r="M360" s="5" t="inlineStr">
        <is>
          <t>預售</t>
        </is>
      </c>
      <c r="N360" s="5" t="inlineStr">
        <is>
          <t>L3</t>
        </is>
      </c>
      <c r="O360" s="5" t="inlineStr">
        <is>
          <t>https://tainan.housetube.tw/13199</t>
        </is>
      </c>
    </row>
    <row r="361">
      <c r="A361" s="5" t="n">
        <v>360</v>
      </c>
      <c r="B361" s="5" t="inlineStr">
        <is>
          <t>臺南市</t>
        </is>
      </c>
      <c r="C361" s="5" t="inlineStr">
        <is>
          <t>A21005</t>
        </is>
      </c>
      <c r="D361" s="5" t="inlineStr">
        <is>
          <t>tainan</t>
        </is>
      </c>
      <c r="E361" s="5" t="inlineStr">
        <is>
          <t>南科特定區</t>
        </is>
      </c>
      <c r="F361" s="5" t="inlineStr">
        <is>
          <t>區段徵收</t>
        </is>
      </c>
      <c r="G361" s="5" t="inlineStr">
        <is>
          <t>登豐/真祥家6系列</t>
        </is>
      </c>
      <c r="H361" s="5" t="inlineStr">
        <is>
          <t>銘峰開發建設</t>
        </is>
      </c>
      <c r="I361" s="5" t="inlineStr"/>
      <c r="J361" s="5" t="inlineStr">
        <is>
          <t>地坪38.54坪/建坪90.56坪</t>
        </is>
      </c>
      <c r="K361" s="5" t="inlineStr"/>
      <c r="L361" s="5" t="inlineStr"/>
      <c r="M361" s="5" t="inlineStr">
        <is>
          <t>已完工</t>
        </is>
      </c>
      <c r="N361" s="5" t="inlineStr">
        <is>
          <t>L3</t>
        </is>
      </c>
      <c r="O361" s="5" t="inlineStr">
        <is>
          <t>https://tainan.housetube.tw/m15715</t>
        </is>
      </c>
    </row>
    <row r="362">
      <c r="A362" s="5" t="n">
        <v>361</v>
      </c>
      <c r="B362" s="5" t="inlineStr">
        <is>
          <t>臺南市</t>
        </is>
      </c>
      <c r="C362" s="5" t="inlineStr">
        <is>
          <t>A21005</t>
        </is>
      </c>
      <c r="D362" s="5" t="inlineStr">
        <is>
          <t>tainan</t>
        </is>
      </c>
      <c r="E362" s="5" t="inlineStr">
        <is>
          <t>南科特定區</t>
        </is>
      </c>
      <c r="F362" s="5" t="inlineStr">
        <is>
          <t>區段徵收</t>
        </is>
      </c>
      <c r="G362" s="5" t="inlineStr">
        <is>
          <t>豐昱沐合</t>
        </is>
      </c>
      <c r="H362" s="5" t="inlineStr"/>
      <c r="I362" s="5" t="inlineStr"/>
      <c r="J362" s="5" t="inlineStr"/>
      <c r="K362" s="5" t="inlineStr">
        <is>
          <t>28.2萬/坪</t>
        </is>
      </c>
      <c r="L362" s="5" t="inlineStr"/>
      <c r="M362" s="5" t="inlineStr">
        <is>
          <t>已完工</t>
        </is>
      </c>
      <c r="N362" s="5" t="inlineStr">
        <is>
          <t>L3</t>
        </is>
      </c>
      <c r="O362" s="5" t="inlineStr">
        <is>
          <t>https://tainan.housetube.tw/c76?type=building</t>
        </is>
      </c>
    </row>
    <row r="363">
      <c r="A363" s="5" t="n">
        <v>362</v>
      </c>
      <c r="B363" s="5" t="inlineStr">
        <is>
          <t>臺南市</t>
        </is>
      </c>
      <c r="C363" s="5" t="inlineStr">
        <is>
          <t>A21005</t>
        </is>
      </c>
      <c r="D363" s="5" t="inlineStr">
        <is>
          <t>tainan</t>
        </is>
      </c>
      <c r="E363" s="5" t="inlineStr">
        <is>
          <t>南科特定區</t>
        </is>
      </c>
      <c r="F363" s="5" t="inlineStr">
        <is>
          <t>區段徵收</t>
        </is>
      </c>
      <c r="G363" s="5" t="inlineStr">
        <is>
          <t>樂樂南科</t>
        </is>
      </c>
      <c r="H363" s="5" t="inlineStr"/>
      <c r="I363" s="5" t="inlineStr"/>
      <c r="J363" s="5" t="inlineStr"/>
      <c r="K363" s="5" t="inlineStr"/>
      <c r="L363" s="5" t="inlineStr"/>
      <c r="M363" s="5" t="inlineStr">
        <is>
          <t>已完工</t>
        </is>
      </c>
      <c r="N363" s="5" t="inlineStr">
        <is>
          <t>L3</t>
        </is>
      </c>
      <c r="O363" s="5" t="inlineStr">
        <is>
          <t>https://tainan.housetube.tw/c76?type=building</t>
        </is>
      </c>
    </row>
    <row r="364">
      <c r="A364" s="5" t="n">
        <v>363</v>
      </c>
      <c r="B364" s="5" t="inlineStr">
        <is>
          <t>臺南市</t>
        </is>
      </c>
      <c r="C364" s="5" t="inlineStr">
        <is>
          <t>A21005</t>
        </is>
      </c>
      <c r="D364" s="5" t="inlineStr">
        <is>
          <t>tainan</t>
        </is>
      </c>
      <c r="E364" s="5" t="inlineStr">
        <is>
          <t>南科特定區</t>
        </is>
      </c>
      <c r="F364" s="5" t="inlineStr">
        <is>
          <t>區段徵收</t>
        </is>
      </c>
      <c r="G364" s="5" t="inlineStr">
        <is>
          <t>連建苒苒</t>
        </is>
      </c>
      <c r="H364" s="5" t="inlineStr">
        <is>
          <t>連建開發</t>
        </is>
      </c>
      <c r="I364" s="5" t="inlineStr">
        <is>
          <t>44戶</t>
        </is>
      </c>
      <c r="J364" s="5" t="inlineStr"/>
      <c r="K364" s="5" t="inlineStr"/>
      <c r="L364" s="5" t="inlineStr"/>
      <c r="M364" s="5" t="inlineStr"/>
      <c r="N364" s="5" t="inlineStr">
        <is>
          <t>L3</t>
        </is>
      </c>
      <c r="O364" s="5" t="inlineStr">
        <is>
          <t>https://tainan.housetube.tw/43771</t>
        </is>
      </c>
    </row>
    <row r="365">
      <c r="A365" s="5" t="n">
        <v>364</v>
      </c>
      <c r="B365" s="5" t="inlineStr">
        <is>
          <t>臺南市</t>
        </is>
      </c>
      <c r="C365" s="5" t="inlineStr">
        <is>
          <t>A21005</t>
        </is>
      </c>
      <c r="D365" s="5" t="inlineStr">
        <is>
          <t>tainan</t>
        </is>
      </c>
      <c r="E365" s="5" t="inlineStr">
        <is>
          <t>善化區段徵收</t>
        </is>
      </c>
      <c r="F365" s="5" t="inlineStr">
        <is>
          <t>區段徵收</t>
        </is>
      </c>
      <c r="G365" s="5" t="inlineStr">
        <is>
          <t>佳鋐科匯</t>
        </is>
      </c>
      <c r="H365" s="5" t="inlineStr">
        <is>
          <t>佳鋐建設</t>
        </is>
      </c>
      <c r="I365" s="5" t="inlineStr">
        <is>
          <t>144戶</t>
        </is>
      </c>
      <c r="J365" s="5" t="inlineStr">
        <is>
          <t>25-38坪</t>
        </is>
      </c>
      <c r="K365" s="5" t="inlineStr">
        <is>
          <t>36-38萬/坪</t>
        </is>
      </c>
      <c r="L365" s="5" t="inlineStr"/>
      <c r="M365" s="5" t="inlineStr">
        <is>
          <t>預售</t>
        </is>
      </c>
      <c r="N365" s="5" t="inlineStr">
        <is>
          <t>L3</t>
        </is>
      </c>
      <c r="O365" s="5" t="inlineStr">
        <is>
          <t>https://tainan.housetube.tw/51792</t>
        </is>
      </c>
    </row>
    <row r="366">
      <c r="A366" s="5" t="n">
        <v>365</v>
      </c>
      <c r="B366" s="5" t="inlineStr">
        <is>
          <t>臺南市</t>
        </is>
      </c>
      <c r="C366" s="5" t="inlineStr">
        <is>
          <t>A21005</t>
        </is>
      </c>
      <c r="D366" s="5" t="inlineStr">
        <is>
          <t>tainan</t>
        </is>
      </c>
      <c r="E366" s="5" t="inlineStr">
        <is>
          <t>善化區段徵收</t>
        </is>
      </c>
      <c r="F366" s="5" t="inlineStr">
        <is>
          <t>區段徵收</t>
        </is>
      </c>
      <c r="G366" s="5" t="inlineStr">
        <is>
          <t>恆鵬陽光四季</t>
        </is>
      </c>
      <c r="H366" s="5" t="inlineStr"/>
      <c r="I366" s="5" t="inlineStr">
        <is>
          <t>84戶</t>
        </is>
      </c>
      <c r="J366" s="5" t="inlineStr"/>
      <c r="K366" s="5" t="inlineStr">
        <is>
          <t>35萬/坪</t>
        </is>
      </c>
      <c r="L366" s="5" t="inlineStr"/>
      <c r="M366" s="5" t="inlineStr">
        <is>
          <t>已完工</t>
        </is>
      </c>
      <c r="N366" s="5" t="inlineStr">
        <is>
          <t>L3</t>
        </is>
      </c>
      <c r="O366" s="5" t="inlineStr">
        <is>
          <t>https://market.591.com.tw/5903008</t>
        </is>
      </c>
    </row>
    <row r="367">
      <c r="A367" s="5" t="n">
        <v>366</v>
      </c>
      <c r="B367" s="5" t="inlineStr">
        <is>
          <t>臺南市</t>
        </is>
      </c>
      <c r="C367" s="5" t="inlineStr">
        <is>
          <t>A21005</t>
        </is>
      </c>
      <c r="D367" s="5" t="inlineStr">
        <is>
          <t>tainan</t>
        </is>
      </c>
      <c r="E367" s="5" t="inlineStr">
        <is>
          <t>善化區段徵收</t>
        </is>
      </c>
      <c r="F367" s="5" t="inlineStr">
        <is>
          <t>區段徵收</t>
        </is>
      </c>
      <c r="G367" s="5" t="inlineStr">
        <is>
          <t>蕾夢湖</t>
        </is>
      </c>
      <c r="H367" s="5" t="inlineStr">
        <is>
          <t>良勳建設</t>
        </is>
      </c>
      <c r="I367" s="5" t="inlineStr"/>
      <c r="J367" s="5" t="inlineStr"/>
      <c r="K367" s="5" t="inlineStr"/>
      <c r="L367" s="5" t="inlineStr"/>
      <c r="M367" s="5" t="inlineStr">
        <is>
          <t>已完銷</t>
        </is>
      </c>
      <c r="N367" s="5" t="inlineStr">
        <is>
          <t>L3</t>
        </is>
      </c>
      <c r="O367" s="5" t="inlineStr">
        <is>
          <t>https://knowhouse.tw/2102</t>
        </is>
      </c>
    </row>
    <row r="368">
      <c r="A368" s="5" t="n">
        <v>367</v>
      </c>
      <c r="B368" s="5" t="inlineStr">
        <is>
          <t>臺南市</t>
        </is>
      </c>
      <c r="C368" s="5" t="inlineStr">
        <is>
          <t>A21005</t>
        </is>
      </c>
      <c r="D368" s="5" t="inlineStr">
        <is>
          <t>tainan</t>
        </is>
      </c>
      <c r="E368" s="5" t="inlineStr">
        <is>
          <t>舊市區零星都更</t>
        </is>
      </c>
      <c r="F368" s="5" t="inlineStr">
        <is>
          <t>都市更新</t>
        </is>
      </c>
      <c r="G368" s="5" t="inlineStr">
        <is>
          <t>出雲居(原維冠大樓重建)</t>
        </is>
      </c>
      <c r="H368" s="5" t="inlineStr"/>
      <c r="I368" s="5" t="inlineStr">
        <is>
          <t>48戶</t>
        </is>
      </c>
      <c r="J368" s="5" t="inlineStr"/>
      <c r="K368" s="5" t="inlineStr"/>
      <c r="L368" s="5" t="inlineStr"/>
      <c r="M368" s="5" t="inlineStr">
        <is>
          <t>已完工</t>
        </is>
      </c>
      <c r="N368" s="5" t="inlineStr">
        <is>
          <t>L1</t>
        </is>
      </c>
      <c r="O368" s="5" t="inlineStr">
        <is>
          <t>https://www.moi.gov.tw/News_Content.aspx?n=4&amp;s=258877&amp;sms=9009</t>
        </is>
      </c>
    </row>
    <row r="369">
      <c r="A369" s="5" t="n">
        <v>368</v>
      </c>
      <c r="B369" s="5" t="inlineStr">
        <is>
          <t>臺南市</t>
        </is>
      </c>
      <c r="C369" s="5" t="inlineStr">
        <is>
          <t>A21005</t>
        </is>
      </c>
      <c r="D369" s="5" t="inlineStr">
        <is>
          <t>tainan</t>
        </is>
      </c>
      <c r="E369" s="5" t="inlineStr">
        <is>
          <t>舊市區零星都更</t>
        </is>
      </c>
      <c r="F369" s="5" t="inlineStr">
        <is>
          <t>都市更新</t>
        </is>
      </c>
      <c r="G369" s="5" t="inlineStr">
        <is>
          <t>欣府城-一品樓</t>
        </is>
      </c>
      <c r="H369" s="5" t="inlineStr">
        <is>
          <t>江城建設/巴森營造</t>
        </is>
      </c>
      <c r="I369" s="5" t="inlineStr"/>
      <c r="J369" s="5" t="inlineStr"/>
      <c r="K369" s="5" t="inlineStr"/>
      <c r="L369" s="5" t="inlineStr"/>
      <c r="M369" s="5" t="inlineStr"/>
      <c r="N369" s="5" t="inlineStr">
        <is>
          <t>L3</t>
        </is>
      </c>
      <c r="O369" s="5" t="inlineStr">
        <is>
          <t>https://tainan.housetube.tw/42072</t>
        </is>
      </c>
    </row>
    <row r="370">
      <c r="A370" s="5" t="n">
        <v>369</v>
      </c>
      <c r="B370" s="5" t="inlineStr">
        <is>
          <t>高雄市</t>
        </is>
      </c>
      <c r="C370" s="5" t="inlineStr">
        <is>
          <t>A21006</t>
        </is>
      </c>
      <c r="D370" s="5" t="inlineStr">
        <is>
          <t>kaohsiung</t>
        </is>
      </c>
      <c r="E370" s="5" t="inlineStr">
        <is>
          <t>鳳山公辦重劃</t>
        </is>
      </c>
      <c r="F370" s="5" t="inlineStr">
        <is>
          <t>公辦市地重劃</t>
        </is>
      </c>
      <c r="G370" s="5" t="inlineStr">
        <is>
          <t>日日豐VISION88</t>
        </is>
      </c>
      <c r="H370" s="5" t="inlineStr">
        <is>
          <t>豐嶸建設</t>
        </is>
      </c>
      <c r="I370" s="5" t="inlineStr"/>
      <c r="J370" s="5" t="inlineStr"/>
      <c r="K370" s="5" t="inlineStr">
        <is>
          <t>30-36萬/坪</t>
        </is>
      </c>
      <c r="L370" s="5" t="inlineStr"/>
      <c r="M370" s="5" t="inlineStr">
        <is>
          <t>新成屋</t>
        </is>
      </c>
      <c r="N370" s="5" t="inlineStr">
        <is>
          <t>L3</t>
        </is>
      </c>
      <c r="O370" s="5" t="inlineStr">
        <is>
          <t>https://newhouse.591.com.tw/133504</t>
        </is>
      </c>
    </row>
    <row r="371">
      <c r="A371" s="5" t="n">
        <v>370</v>
      </c>
      <c r="B371" s="5" t="inlineStr">
        <is>
          <t>高雄市</t>
        </is>
      </c>
      <c r="C371" s="5" t="inlineStr">
        <is>
          <t>A21006</t>
        </is>
      </c>
      <c r="D371" s="5" t="inlineStr">
        <is>
          <t>kaohsiung</t>
        </is>
      </c>
      <c r="E371" s="5" t="inlineStr">
        <is>
          <t>鳳山公辦重劃</t>
        </is>
      </c>
      <c r="F371" s="5" t="inlineStr">
        <is>
          <t>公辦市地重劃</t>
        </is>
      </c>
      <c r="G371" s="5" t="inlineStr">
        <is>
          <t>聯上WE</t>
        </is>
      </c>
      <c r="H371" s="5" t="inlineStr">
        <is>
          <t>聯上建設</t>
        </is>
      </c>
      <c r="I371" s="5" t="inlineStr"/>
      <c r="J371" s="5" t="inlineStr">
        <is>
          <t>21-46坪</t>
        </is>
      </c>
      <c r="K371" s="5" t="inlineStr"/>
      <c r="L371" s="5" t="inlineStr"/>
      <c r="M371" s="5" t="inlineStr">
        <is>
          <t>銷售中</t>
        </is>
      </c>
      <c r="N371" s="5" t="inlineStr">
        <is>
          <t>L3</t>
        </is>
      </c>
      <c r="O371" s="5" t="inlineStr">
        <is>
          <t>https://kaohsiung.housetube.tw/32673</t>
        </is>
      </c>
    </row>
    <row r="372">
      <c r="A372" s="5" t="n">
        <v>371</v>
      </c>
      <c r="B372" s="5" t="inlineStr">
        <is>
          <t>高雄市</t>
        </is>
      </c>
      <c r="C372" s="5" t="inlineStr">
        <is>
          <t>A21006</t>
        </is>
      </c>
      <c r="D372" s="5" t="inlineStr">
        <is>
          <t>kaohsiung</t>
        </is>
      </c>
      <c r="E372" s="5" t="inlineStr">
        <is>
          <t>鳳山公辦重劃</t>
        </is>
      </c>
      <c r="F372" s="5" t="inlineStr">
        <is>
          <t>公辦市地重劃</t>
        </is>
      </c>
      <c r="G372" s="5" t="inlineStr">
        <is>
          <t>利融永御</t>
        </is>
      </c>
      <c r="H372" s="5" t="inlineStr"/>
      <c r="I372" s="5" t="inlineStr"/>
      <c r="J372" s="5" t="inlineStr"/>
      <c r="K372" s="5" t="inlineStr"/>
      <c r="L372" s="5" t="inlineStr"/>
      <c r="M372" s="5" t="inlineStr"/>
      <c r="N372" s="5" t="inlineStr">
        <is>
          <t>L3</t>
        </is>
      </c>
      <c r="O372" s="5" t="inlineStr">
        <is>
          <t>https://house.chinatimes.com/housetourkaohsiung</t>
        </is>
      </c>
    </row>
    <row r="373">
      <c r="A373" s="5" t="n">
        <v>372</v>
      </c>
      <c r="B373" s="5" t="inlineStr">
        <is>
          <t>高雄市</t>
        </is>
      </c>
      <c r="C373" s="5" t="inlineStr">
        <is>
          <t>A21006</t>
        </is>
      </c>
      <c r="D373" s="5" t="inlineStr">
        <is>
          <t>kaohsiung</t>
        </is>
      </c>
      <c r="E373" s="5" t="inlineStr">
        <is>
          <t>鳳山公辦重劃</t>
        </is>
      </c>
      <c r="F373" s="5" t="inlineStr">
        <is>
          <t>公辦市地重劃</t>
        </is>
      </c>
      <c r="G373" s="5" t="inlineStr">
        <is>
          <t>水晶鑽</t>
        </is>
      </c>
      <c r="H373" s="5" t="inlineStr">
        <is>
          <t>新東隆開發建設</t>
        </is>
      </c>
      <c r="I373" s="5" t="inlineStr"/>
      <c r="J373" s="5" t="inlineStr">
        <is>
          <t>24-46坪</t>
        </is>
      </c>
      <c r="K373" s="5" t="inlineStr"/>
      <c r="L373" s="5" t="inlineStr"/>
      <c r="M373" s="5" t="inlineStr"/>
      <c r="N373" s="5" t="inlineStr">
        <is>
          <t>L3</t>
        </is>
      </c>
      <c r="O373" s="5" t="inlineStr">
        <is>
          <t>https://kaohsiung.housetube.tw/6025</t>
        </is>
      </c>
    </row>
    <row r="374">
      <c r="A374" s="5" t="n">
        <v>373</v>
      </c>
      <c r="B374" s="5" t="inlineStr">
        <is>
          <t>高雄市</t>
        </is>
      </c>
      <c r="C374" s="5" t="inlineStr">
        <is>
          <t>A21006</t>
        </is>
      </c>
      <c r="D374" s="5" t="inlineStr">
        <is>
          <t>kaohsiung</t>
        </is>
      </c>
      <c r="E374" s="5" t="inlineStr">
        <is>
          <t>鳳山公辦重劃</t>
        </is>
      </c>
      <c r="F374" s="5" t="inlineStr">
        <is>
          <t>公辦市地重劃</t>
        </is>
      </c>
      <c r="G374" s="5" t="inlineStr">
        <is>
          <t>捷運新都心</t>
        </is>
      </c>
      <c r="H374" s="5" t="inlineStr">
        <is>
          <t>德耀建設</t>
        </is>
      </c>
      <c r="I374" s="5" t="inlineStr"/>
      <c r="J374" s="5" t="inlineStr">
        <is>
          <t>57-80坪</t>
        </is>
      </c>
      <c r="K374" s="5" t="inlineStr"/>
      <c r="L374" s="5" t="inlineStr"/>
      <c r="M374" s="5" t="inlineStr"/>
      <c r="N374" s="5" t="inlineStr">
        <is>
          <t>L3</t>
        </is>
      </c>
      <c r="O374" s="5" t="inlineStr">
        <is>
          <t>https://kaohsiung.housetube.tw/6516</t>
        </is>
      </c>
    </row>
    <row r="375">
      <c r="A375" s="5" t="n">
        <v>374</v>
      </c>
      <c r="B375" s="5" t="inlineStr">
        <is>
          <t>高雄市</t>
        </is>
      </c>
      <c r="C375" s="5" t="inlineStr">
        <is>
          <t>A21006</t>
        </is>
      </c>
      <c r="D375" s="5" t="inlineStr">
        <is>
          <t>kaohsiung</t>
        </is>
      </c>
      <c r="E375" s="5" t="inlineStr">
        <is>
          <t>鳳山公辦重劃</t>
        </is>
      </c>
      <c r="F375" s="5" t="inlineStr">
        <is>
          <t>公辦市地重劃</t>
        </is>
      </c>
      <c r="G375" s="5" t="inlineStr">
        <is>
          <t>名發新境</t>
        </is>
      </c>
      <c r="H375" s="5" t="inlineStr"/>
      <c r="I375" s="5" t="inlineStr"/>
      <c r="J375" s="5" t="inlineStr"/>
      <c r="K375" s="5" t="inlineStr"/>
      <c r="L375" s="5" t="inlineStr"/>
      <c r="M375" s="5" t="inlineStr"/>
      <c r="N375" s="5" t="inlineStr">
        <is>
          <t>L3</t>
        </is>
      </c>
      <c r="O375" s="5" t="inlineStr">
        <is>
          <t>https://blog.housetube.tw/3111/</t>
        </is>
      </c>
    </row>
    <row r="376">
      <c r="A376" s="5" t="n">
        <v>375</v>
      </c>
      <c r="B376" s="5" t="inlineStr">
        <is>
          <t>高雄市</t>
        </is>
      </c>
      <c r="C376" s="5" t="inlineStr">
        <is>
          <t>A21006</t>
        </is>
      </c>
      <c r="D376" s="5" t="inlineStr">
        <is>
          <t>kaohsiung</t>
        </is>
      </c>
      <c r="E376" s="5" t="inlineStr">
        <is>
          <t>岡山公辦重劃</t>
        </is>
      </c>
      <c r="F376" s="5" t="inlineStr">
        <is>
          <t>公辦市地重劃</t>
        </is>
      </c>
      <c r="G376" s="5" t="inlineStr">
        <is>
          <t>鑫龍騰鑫首席</t>
        </is>
      </c>
      <c r="H376" s="5" t="inlineStr">
        <is>
          <t>鑫龍騰建設</t>
        </is>
      </c>
      <c r="I376" s="5" t="inlineStr">
        <is>
          <t>139戶</t>
        </is>
      </c>
      <c r="J376" s="5" t="inlineStr">
        <is>
          <t>34-55坪</t>
        </is>
      </c>
      <c r="K376" s="5" t="inlineStr">
        <is>
          <t>39.79萬/坪</t>
        </is>
      </c>
      <c r="L376" s="5" t="inlineStr"/>
      <c r="M376" s="5" t="inlineStr">
        <is>
          <t>預售</t>
        </is>
      </c>
      <c r="N376" s="5" t="inlineStr">
        <is>
          <t>L3</t>
        </is>
      </c>
      <c r="O376" s="5" t="inlineStr">
        <is>
          <t>https://www.housefeel.com.tw/article/%E5%B2%A1%E5%B1%B187%E6%9C%9F%E9%87%8D%E5%8A%83%E5%8D%80-%E5%B2%A1%E5%B1%B1%E6%96%B0%E5%BB%BA%E6%A1%88-87%E6%9C%9F%E9%87%8D%E5%8A%83%E5%8D%80/</t>
        </is>
      </c>
    </row>
    <row r="377">
      <c r="A377" s="5" t="n">
        <v>376</v>
      </c>
      <c r="B377" s="5" t="inlineStr">
        <is>
          <t>高雄市</t>
        </is>
      </c>
      <c r="C377" s="5" t="inlineStr">
        <is>
          <t>A21006</t>
        </is>
      </c>
      <c r="D377" s="5" t="inlineStr">
        <is>
          <t>kaohsiung</t>
        </is>
      </c>
      <c r="E377" s="5" t="inlineStr">
        <is>
          <t>岡山公辦重劃</t>
        </is>
      </c>
      <c r="F377" s="5" t="inlineStr">
        <is>
          <t>公辦市地重劃</t>
        </is>
      </c>
      <c r="G377" s="5" t="inlineStr">
        <is>
          <t>鳳凰信義</t>
        </is>
      </c>
      <c r="H377" s="5" t="inlineStr">
        <is>
          <t>隆大營建</t>
        </is>
      </c>
      <c r="I377" s="5" t="inlineStr">
        <is>
          <t>201戶</t>
        </is>
      </c>
      <c r="J377" s="5" t="inlineStr">
        <is>
          <t>21-89坪</t>
        </is>
      </c>
      <c r="K377" s="5" t="inlineStr">
        <is>
          <t>35.59萬/坪</t>
        </is>
      </c>
      <c r="L377" s="5" t="inlineStr"/>
      <c r="M377" s="5" t="inlineStr">
        <is>
          <t>新成屋</t>
        </is>
      </c>
      <c r="N377" s="5" t="inlineStr">
        <is>
          <t>L3</t>
        </is>
      </c>
      <c r="O377" s="5" t="inlineStr">
        <is>
          <t>https://www.housefeel.com.tw/article/%E5%B2%A1%E5%B1%B187%E6%9C%9F%E9%87%8D%E5%8A%83%E5%8D%80-%E5%B2%A1%E5%B1%B1%E6%96%B0%E5%BB%BA%E6%A1%88-87%E6%9C%9F%E9%87%8D%E5%8A%83%E5%8D%80/</t>
        </is>
      </c>
    </row>
    <row r="378">
      <c r="A378" s="5" t="n">
        <v>377</v>
      </c>
      <c r="B378" s="5" t="inlineStr">
        <is>
          <t>高雄市</t>
        </is>
      </c>
      <c r="C378" s="5" t="inlineStr">
        <is>
          <t>A21006</t>
        </is>
      </c>
      <c r="D378" s="5" t="inlineStr">
        <is>
          <t>kaohsiung</t>
        </is>
      </c>
      <c r="E378" s="5" t="inlineStr">
        <is>
          <t>岡山公辦重劃</t>
        </is>
      </c>
      <c r="F378" s="5" t="inlineStr">
        <is>
          <t>公辦市地重劃</t>
        </is>
      </c>
      <c r="G378" s="5" t="inlineStr">
        <is>
          <t>艾美御花園</t>
        </is>
      </c>
      <c r="H378" s="5" t="inlineStr">
        <is>
          <t>三嘉開發</t>
        </is>
      </c>
      <c r="I378" s="5" t="inlineStr"/>
      <c r="J378" s="5" t="inlineStr">
        <is>
          <t>20-52坪</t>
        </is>
      </c>
      <c r="K378" s="5" t="inlineStr"/>
      <c r="L378" s="5" t="inlineStr"/>
      <c r="M378" s="5" t="inlineStr"/>
      <c r="N378" s="5" t="inlineStr">
        <is>
          <t>L3</t>
        </is>
      </c>
      <c r="O378" s="5" t="inlineStr">
        <is>
          <t>https://kaohsiung.housetube.tw/36384</t>
        </is>
      </c>
    </row>
    <row r="379">
      <c r="A379" s="5" t="n">
        <v>378</v>
      </c>
      <c r="B379" s="5" t="inlineStr">
        <is>
          <t>高雄市</t>
        </is>
      </c>
      <c r="C379" s="5" t="inlineStr">
        <is>
          <t>A21006</t>
        </is>
      </c>
      <c r="D379" s="5" t="inlineStr">
        <is>
          <t>kaohsiung</t>
        </is>
      </c>
      <c r="E379" s="5" t="inlineStr">
        <is>
          <t>大寮公辦重劃</t>
        </is>
      </c>
      <c r="F379" s="5" t="inlineStr">
        <is>
          <t>公辦市地重劃</t>
        </is>
      </c>
      <c r="G379" s="5" t="inlineStr">
        <is>
          <t>美立方</t>
        </is>
      </c>
      <c r="H379" s="5" t="inlineStr">
        <is>
          <t>城信建設</t>
        </is>
      </c>
      <c r="I379" s="5" t="inlineStr"/>
      <c r="J379" s="5" t="inlineStr">
        <is>
          <t>51-53坪(建坪)</t>
        </is>
      </c>
      <c r="K379" s="5" t="inlineStr"/>
      <c r="L379" s="5" t="inlineStr"/>
      <c r="M379" s="5" t="inlineStr">
        <is>
          <t>新成屋</t>
        </is>
      </c>
      <c r="N379" s="5" t="inlineStr">
        <is>
          <t>L3</t>
        </is>
      </c>
      <c r="O379" s="5" t="inlineStr">
        <is>
          <t>https://newhouse.591.com.tw/137540</t>
        </is>
      </c>
    </row>
    <row r="380">
      <c r="A380" s="5" t="n">
        <v>379</v>
      </c>
      <c r="B380" s="5" t="inlineStr">
        <is>
          <t>高雄市</t>
        </is>
      </c>
      <c r="C380" s="5" t="inlineStr">
        <is>
          <t>A21006</t>
        </is>
      </c>
      <c r="D380" s="5" t="inlineStr">
        <is>
          <t>kaohsiung</t>
        </is>
      </c>
      <c r="E380" s="5" t="inlineStr">
        <is>
          <t>大寮公辦重劃</t>
        </is>
      </c>
      <c r="F380" s="5" t="inlineStr">
        <is>
          <t>公辦市地重劃</t>
        </is>
      </c>
      <c r="G380" s="5" t="inlineStr">
        <is>
          <t>樂氧森</t>
        </is>
      </c>
      <c r="H380" s="5" t="inlineStr"/>
      <c r="I380" s="5" t="inlineStr"/>
      <c r="J380" s="5" t="inlineStr"/>
      <c r="K380" s="5" t="inlineStr"/>
      <c r="L380" s="5" t="inlineStr"/>
      <c r="M380" s="5" t="inlineStr"/>
      <c r="N380" s="5" t="inlineStr">
        <is>
          <t>L3</t>
        </is>
      </c>
      <c r="O380" s="5" t="inlineStr">
        <is>
          <t>https://house.chinatimes.com/housetourkaohsiung</t>
        </is>
      </c>
    </row>
    <row r="381">
      <c r="A381" s="5" t="n">
        <v>380</v>
      </c>
      <c r="B381" s="5" t="inlineStr">
        <is>
          <t>高雄市</t>
        </is>
      </c>
      <c r="C381" s="5" t="inlineStr">
        <is>
          <t>A21006</t>
        </is>
      </c>
      <c r="D381" s="5" t="inlineStr">
        <is>
          <t>kaohsiung</t>
        </is>
      </c>
      <c r="E381" s="5" t="inlineStr">
        <is>
          <t>路竹公辦重劃</t>
        </is>
      </c>
      <c r="F381" s="5" t="inlineStr">
        <is>
          <t>公辦市地重劃</t>
        </is>
      </c>
      <c r="G381" s="5" t="inlineStr">
        <is>
          <t>科心豐閣</t>
        </is>
      </c>
      <c r="H381" s="5" t="inlineStr">
        <is>
          <t>豐鴻建設</t>
        </is>
      </c>
      <c r="I381" s="5" t="inlineStr">
        <is>
          <t>106戶</t>
        </is>
      </c>
      <c r="J381" s="5" t="inlineStr"/>
      <c r="K381" s="5" t="inlineStr">
        <is>
          <t>27-29萬/坪</t>
        </is>
      </c>
      <c r="L381" s="5" t="inlineStr"/>
      <c r="M381" s="5" t="inlineStr">
        <is>
          <t>預售</t>
        </is>
      </c>
      <c r="N381" s="5" t="inlineStr">
        <is>
          <t>L3</t>
        </is>
      </c>
      <c r="O381" s="5" t="inlineStr">
        <is>
          <t>https://kaohsiung.housetube.tw/50833</t>
        </is>
      </c>
    </row>
    <row r="382">
      <c r="A382" s="5" t="n">
        <v>381</v>
      </c>
      <c r="B382" s="5" t="inlineStr">
        <is>
          <t>高雄市</t>
        </is>
      </c>
      <c r="C382" s="5" t="inlineStr">
        <is>
          <t>A21006</t>
        </is>
      </c>
      <c r="D382" s="5" t="inlineStr">
        <is>
          <t>kaohsiung</t>
        </is>
      </c>
      <c r="E382" s="5" t="inlineStr">
        <is>
          <t>路竹公辦重劃</t>
        </is>
      </c>
      <c r="F382" s="5" t="inlineStr">
        <is>
          <t>公辦市地重劃</t>
        </is>
      </c>
      <c r="G382" s="5" t="inlineStr">
        <is>
          <t>崧宏大謙</t>
        </is>
      </c>
      <c r="H382" s="5" t="inlineStr">
        <is>
          <t>崧宏建設</t>
        </is>
      </c>
      <c r="I382" s="5" t="inlineStr">
        <is>
          <t>5戶</t>
        </is>
      </c>
      <c r="J382" s="5" t="inlineStr">
        <is>
          <t>67-108坪(建坪)</t>
        </is>
      </c>
      <c r="K382" s="5" t="inlineStr"/>
      <c r="L382" s="5" t="inlineStr"/>
      <c r="M382" s="5" t="inlineStr">
        <is>
          <t>新成屋</t>
        </is>
      </c>
      <c r="N382" s="5" t="inlineStr">
        <is>
          <t>L3</t>
        </is>
      </c>
      <c r="O382" s="5" t="inlineStr">
        <is>
          <t>https://kaohsiung.housetube.tw/41996</t>
        </is>
      </c>
    </row>
    <row r="383">
      <c r="A383" s="5" t="n">
        <v>382</v>
      </c>
      <c r="B383" s="5" t="inlineStr">
        <is>
          <t>高雄市</t>
        </is>
      </c>
      <c r="C383" s="5" t="inlineStr">
        <is>
          <t>A21006</t>
        </is>
      </c>
      <c r="D383" s="5" t="inlineStr">
        <is>
          <t>kaohsiung</t>
        </is>
      </c>
      <c r="E383" s="5" t="inlineStr">
        <is>
          <t>路竹公辦重劃</t>
        </is>
      </c>
      <c r="F383" s="5" t="inlineStr">
        <is>
          <t>公辦市地重劃</t>
        </is>
      </c>
      <c r="G383" s="5" t="inlineStr">
        <is>
          <t>一品苑臻藏</t>
        </is>
      </c>
      <c r="H383" s="5" t="inlineStr"/>
      <c r="I383" s="5" t="inlineStr"/>
      <c r="J383" s="5" t="inlineStr"/>
      <c r="K383" s="5" t="inlineStr"/>
      <c r="L383" s="5" t="inlineStr"/>
      <c r="M383" s="5" t="inlineStr">
        <is>
          <t>預售</t>
        </is>
      </c>
      <c r="N383" s="5" t="inlineStr">
        <is>
          <t>L3</t>
        </is>
      </c>
      <c r="O383" s="5" t="inlineStr">
        <is>
          <t>https://kaohsiung.housetube.tw/c367</t>
        </is>
      </c>
    </row>
    <row r="384">
      <c r="A384" s="5" t="n">
        <v>383</v>
      </c>
      <c r="B384" s="5" t="inlineStr">
        <is>
          <t>高雄市</t>
        </is>
      </c>
      <c r="C384" s="5" t="inlineStr">
        <is>
          <t>A21006</t>
        </is>
      </c>
      <c r="D384" s="5" t="inlineStr">
        <is>
          <t>kaohsiung</t>
        </is>
      </c>
      <c r="E384" s="5" t="inlineStr">
        <is>
          <t>梓官自辦重劃</t>
        </is>
      </c>
      <c r="F384" s="5" t="inlineStr">
        <is>
          <t>自辦市地重劃</t>
        </is>
      </c>
      <c r="G384" s="5" t="inlineStr">
        <is>
          <t>小春日和</t>
        </is>
      </c>
      <c r="H384" s="5" t="inlineStr">
        <is>
          <t>興麗盟建設</t>
        </is>
      </c>
      <c r="I384" s="5" t="inlineStr">
        <is>
          <t>22戶</t>
        </is>
      </c>
      <c r="J384" s="5" t="inlineStr">
        <is>
          <t>47-61坪(建坪)</t>
        </is>
      </c>
      <c r="K384" s="5" t="inlineStr"/>
      <c r="L384" s="5" t="inlineStr"/>
      <c r="M384" s="5" t="inlineStr">
        <is>
          <t>新成屋</t>
        </is>
      </c>
      <c r="N384" s="5" t="inlineStr">
        <is>
          <t>L3</t>
        </is>
      </c>
      <c r="O384" s="5" t="inlineStr">
        <is>
          <t>https://kaohsiung.housetube.tw/38076</t>
        </is>
      </c>
    </row>
    <row r="385">
      <c r="A385" s="5" t="n">
        <v>384</v>
      </c>
      <c r="B385" s="5" t="inlineStr">
        <is>
          <t>高雄市</t>
        </is>
      </c>
      <c r="C385" s="5" t="inlineStr">
        <is>
          <t>A21006</t>
        </is>
      </c>
      <c r="D385" s="5" t="inlineStr">
        <is>
          <t>kaohsiung</t>
        </is>
      </c>
      <c r="E385" s="5" t="inlineStr">
        <is>
          <t>梓官自辦重劃</t>
        </is>
      </c>
      <c r="F385" s="5" t="inlineStr">
        <is>
          <t>自辦市地重劃</t>
        </is>
      </c>
      <c r="G385" s="5" t="inlineStr">
        <is>
          <t>小春日和3</t>
        </is>
      </c>
      <c r="H385" s="5" t="inlineStr">
        <is>
          <t>興麗盟建設</t>
        </is>
      </c>
      <c r="I385" s="5" t="inlineStr"/>
      <c r="J385" s="5" t="inlineStr">
        <is>
          <t>45-57坪(建坪)</t>
        </is>
      </c>
      <c r="K385" s="5" t="inlineStr"/>
      <c r="L385" s="5" t="inlineStr"/>
      <c r="M385" s="5" t="inlineStr">
        <is>
          <t>新成屋</t>
        </is>
      </c>
      <c r="N385" s="5" t="inlineStr">
        <is>
          <t>L3</t>
        </is>
      </c>
      <c r="O385" s="5" t="inlineStr">
        <is>
          <t>https://newhouse.591.com.tw/137294</t>
        </is>
      </c>
    </row>
    <row r="386">
      <c r="A386" s="5" t="n">
        <v>385</v>
      </c>
      <c r="B386" s="5" t="inlineStr">
        <is>
          <t>高雄市</t>
        </is>
      </c>
      <c r="C386" s="5" t="inlineStr">
        <is>
          <t>A21006</t>
        </is>
      </c>
      <c r="D386" s="5" t="inlineStr">
        <is>
          <t>kaohsiung</t>
        </is>
      </c>
      <c r="E386" s="5" t="inlineStr">
        <is>
          <t>梓官自辦重劃</t>
        </is>
      </c>
      <c r="F386" s="5" t="inlineStr">
        <is>
          <t>自辦市地重劃</t>
        </is>
      </c>
      <c r="G386" s="5" t="inlineStr">
        <is>
          <t>龍躍11</t>
        </is>
      </c>
      <c r="H386" s="5" t="inlineStr">
        <is>
          <t>佐相建設</t>
        </is>
      </c>
      <c r="I386" s="5" t="inlineStr"/>
      <c r="J386" s="5" t="inlineStr"/>
      <c r="K386" s="5" t="inlineStr"/>
      <c r="L386" s="5" t="inlineStr"/>
      <c r="M386" s="5" t="inlineStr">
        <is>
          <t>新成屋</t>
        </is>
      </c>
      <c r="N386" s="5" t="inlineStr">
        <is>
          <t>L3</t>
        </is>
      </c>
      <c r="O386" s="5" t="inlineStr">
        <is>
          <t>https://blog.housetube.tw/tag/%E9%AB%98%E9%9B%84%E6%A2%93%E5%AE%98%E9%80%8F%E5%A4%A9</t>
        </is>
      </c>
    </row>
    <row r="387">
      <c r="A387" s="5" t="n">
        <v>386</v>
      </c>
      <c r="B387" s="5" t="inlineStr">
        <is>
          <t>高雄市</t>
        </is>
      </c>
      <c r="C387" s="5" t="inlineStr">
        <is>
          <t>A21006</t>
        </is>
      </c>
      <c r="D387" s="5" t="inlineStr">
        <is>
          <t>kaohsiung</t>
        </is>
      </c>
      <c r="E387" s="5" t="inlineStr">
        <is>
          <t>農16特區</t>
        </is>
      </c>
      <c r="F387" s="5" t="inlineStr">
        <is>
          <t>區段徵收</t>
        </is>
      </c>
      <c r="G387" s="5" t="inlineStr">
        <is>
          <t>遠雄PARK 16</t>
        </is>
      </c>
      <c r="H387" s="5" t="inlineStr">
        <is>
          <t>遠雄建設</t>
        </is>
      </c>
      <c r="I387" s="5" t="inlineStr">
        <is>
          <t>233戶</t>
        </is>
      </c>
      <c r="J387" s="5" t="inlineStr">
        <is>
          <t>20-41坪</t>
        </is>
      </c>
      <c r="K387" s="5" t="inlineStr"/>
      <c r="L387" s="5" t="inlineStr">
        <is>
          <t>2026</t>
        </is>
      </c>
      <c r="M387" s="5" t="inlineStr">
        <is>
          <t>興建中</t>
        </is>
      </c>
      <c r="N387" s="5" t="inlineStr">
        <is>
          <t>L3</t>
        </is>
      </c>
      <c r="O387" s="5" t="inlineStr">
        <is>
          <t>https://www.housefeel.com.tw/article/%E8%BE%B216%E7%89%B9%E5%8D%80-%E8%BE%B216-%E9%AB%98%E9%9B%84%E8%BE%B216-%E5%87%B9%E5%AD%90%E5%BA%95/</t>
        </is>
      </c>
    </row>
    <row r="388">
      <c r="A388" s="5" t="n">
        <v>387</v>
      </c>
      <c r="B388" s="5" t="inlineStr">
        <is>
          <t>高雄市</t>
        </is>
      </c>
      <c r="C388" s="5" t="inlineStr">
        <is>
          <t>A21006</t>
        </is>
      </c>
      <c r="D388" s="5" t="inlineStr">
        <is>
          <t>kaohsiung</t>
        </is>
      </c>
      <c r="E388" s="5" t="inlineStr">
        <is>
          <t>農16特區</t>
        </is>
      </c>
      <c r="F388" s="5" t="inlineStr">
        <is>
          <t>區段徵收</t>
        </is>
      </c>
      <c r="G388" s="5" t="inlineStr">
        <is>
          <t>欣都星</t>
        </is>
      </c>
      <c r="H388" s="5" t="inlineStr"/>
      <c r="I388" s="5" t="inlineStr">
        <is>
          <t>296戶</t>
        </is>
      </c>
      <c r="J388" s="5" t="inlineStr"/>
      <c r="K388" s="5" t="inlineStr"/>
      <c r="L388" s="5" t="inlineStr"/>
      <c r="M388" s="5" t="inlineStr">
        <is>
          <t>預售</t>
        </is>
      </c>
      <c r="N388" s="5" t="inlineStr">
        <is>
          <t>L3</t>
        </is>
      </c>
      <c r="O388" s="5" t="inlineStr">
        <is>
          <t>https://www.housefeel.com.tw/article/%E8%BE%B216%E7%89%B9%E5%8D%80-%E8%BE%B216-%E9%AB%98%E9%9B%84%E8%BE%B216-%E5%87%B9%E5%AD%90%E5%BA%95/</t>
        </is>
      </c>
    </row>
    <row r="389">
      <c r="A389" s="5" t="n">
        <v>388</v>
      </c>
      <c r="B389" s="5" t="inlineStr">
        <is>
          <t>高雄市</t>
        </is>
      </c>
      <c r="C389" s="5" t="inlineStr">
        <is>
          <t>A21006</t>
        </is>
      </c>
      <c r="D389" s="5" t="inlineStr">
        <is>
          <t>kaohsiung</t>
        </is>
      </c>
      <c r="E389" s="5" t="inlineStr">
        <is>
          <t>農16特區</t>
        </is>
      </c>
      <c r="F389" s="5" t="inlineStr">
        <is>
          <t>區段徵收</t>
        </is>
      </c>
      <c r="G389" s="5" t="inlineStr">
        <is>
          <t>京城IFC</t>
        </is>
      </c>
      <c r="H389" s="5" t="inlineStr">
        <is>
          <t>京城建設</t>
        </is>
      </c>
      <c r="I389" s="5" t="inlineStr">
        <is>
          <t>235戶</t>
        </is>
      </c>
      <c r="J389" s="5" t="inlineStr">
        <is>
          <t>41-100坪</t>
        </is>
      </c>
      <c r="K389" s="5" t="inlineStr">
        <is>
          <t>60.02萬/坪</t>
        </is>
      </c>
      <c r="L389" s="5" t="inlineStr">
        <is>
          <t>2027</t>
        </is>
      </c>
      <c r="M389" s="5" t="inlineStr">
        <is>
          <t>興建中</t>
        </is>
      </c>
      <c r="N389" s="5" t="inlineStr">
        <is>
          <t>L3</t>
        </is>
      </c>
      <c r="O389" s="5" t="inlineStr">
        <is>
          <t>https://www.housefeel.com.tw/article/%E8%BE%B216%E7%89%B9%E5%8D%80-%E8%BE%B216-%E9%AB%98%E9%9B%84%E8%BE%B216-%E5%87%B9%E5%AD%90%E5%BA%95/</t>
        </is>
      </c>
    </row>
    <row r="390">
      <c r="A390" s="5" t="n">
        <v>389</v>
      </c>
      <c r="B390" s="5" t="inlineStr">
        <is>
          <t>高雄市</t>
        </is>
      </c>
      <c r="C390" s="5" t="inlineStr">
        <is>
          <t>A21006</t>
        </is>
      </c>
      <c r="D390" s="5" t="inlineStr">
        <is>
          <t>kaohsiung</t>
        </is>
      </c>
      <c r="E390" s="5" t="inlineStr">
        <is>
          <t>農16特區</t>
        </is>
      </c>
      <c r="F390" s="5" t="inlineStr">
        <is>
          <t>區段徵收</t>
        </is>
      </c>
      <c r="G390" s="5" t="inlineStr">
        <is>
          <t>京城龍中段191</t>
        </is>
      </c>
      <c r="H390" s="5" t="inlineStr">
        <is>
          <t>京城建設</t>
        </is>
      </c>
      <c r="I390" s="5" t="inlineStr">
        <is>
          <t>144戶</t>
        </is>
      </c>
      <c r="J390" s="5" t="inlineStr"/>
      <c r="K390" s="5" t="inlineStr"/>
      <c r="L390" s="5" t="inlineStr"/>
      <c r="M390" s="5" t="inlineStr">
        <is>
          <t>預售</t>
        </is>
      </c>
      <c r="N390" s="5" t="inlineStr">
        <is>
          <t>L3</t>
        </is>
      </c>
      <c r="O390" s="5" t="inlineStr">
        <is>
          <t>https://www.housefeel.com.tw/article/%E8%BE%B216%E7%89%B9%E5%8D%80-%E8%BE%B216-%E9%AB%98%E9%9B%84%E8%BE%B216-%E5%87%B9%E5%AD%90%E5%BA%95/</t>
        </is>
      </c>
    </row>
    <row r="391">
      <c r="A391" s="5" t="n">
        <v>390</v>
      </c>
      <c r="B391" s="5" t="inlineStr">
        <is>
          <t>高雄市</t>
        </is>
      </c>
      <c r="C391" s="5" t="inlineStr">
        <is>
          <t>A21006</t>
        </is>
      </c>
      <c r="D391" s="5" t="inlineStr">
        <is>
          <t>kaohsiung</t>
        </is>
      </c>
      <c r="E391" s="5" t="inlineStr">
        <is>
          <t>農16特區</t>
        </is>
      </c>
      <c r="F391" s="5" t="inlineStr">
        <is>
          <t>區段徵收</t>
        </is>
      </c>
      <c r="G391" s="5" t="inlineStr">
        <is>
          <t>國揚鉑御</t>
        </is>
      </c>
      <c r="H391" s="5" t="inlineStr">
        <is>
          <t>國揚建設</t>
        </is>
      </c>
      <c r="I391" s="5" t="inlineStr">
        <is>
          <t>415戶</t>
        </is>
      </c>
      <c r="J391" s="5" t="inlineStr">
        <is>
          <t>20-44坪</t>
        </is>
      </c>
      <c r="K391" s="5" t="inlineStr">
        <is>
          <t>67.18萬/坪</t>
        </is>
      </c>
      <c r="L391" s="5" t="inlineStr">
        <is>
          <t>2031</t>
        </is>
      </c>
      <c r="M391" s="5" t="inlineStr">
        <is>
          <t>預售</t>
        </is>
      </c>
      <c r="N391" s="5" t="inlineStr">
        <is>
          <t>L3</t>
        </is>
      </c>
      <c r="O391" s="5" t="inlineStr">
        <is>
          <t>https://www.housefeel.com.tw/article/%E8%BE%B216%E7%89%B9%E5%8D%80-%E8%BE%B216-%E9%AB%98%E9%9B%84%E8%BE%B216-%E5%87%B9%E5%AD%90%E5%BA%95/</t>
        </is>
      </c>
    </row>
    <row r="392">
      <c r="A392" s="5" t="n">
        <v>391</v>
      </c>
      <c r="B392" s="5" t="inlineStr">
        <is>
          <t>高雄市</t>
        </is>
      </c>
      <c r="C392" s="5" t="inlineStr">
        <is>
          <t>A21006</t>
        </is>
      </c>
      <c r="D392" s="5" t="inlineStr">
        <is>
          <t>kaohsiung</t>
        </is>
      </c>
      <c r="E392" s="5" t="inlineStr">
        <is>
          <t>農16特區</t>
        </is>
      </c>
      <c r="F392" s="5" t="inlineStr">
        <is>
          <t>區段徵收</t>
        </is>
      </c>
      <c r="G392" s="5" t="inlineStr">
        <is>
          <t>大好生活龍中段45</t>
        </is>
      </c>
      <c r="H392" s="5" t="inlineStr"/>
      <c r="I392" s="5" t="inlineStr">
        <is>
          <t>4戶</t>
        </is>
      </c>
      <c r="J392" s="5" t="inlineStr"/>
      <c r="K392" s="5" t="inlineStr"/>
      <c r="L392" s="5" t="inlineStr"/>
      <c r="M392" s="5" t="inlineStr">
        <is>
          <t>預售</t>
        </is>
      </c>
      <c r="N392" s="5" t="inlineStr">
        <is>
          <t>L3</t>
        </is>
      </c>
      <c r="O392" s="5" t="inlineStr">
        <is>
          <t>https://www.housefeel.com.tw/article/%E8%BE%B216%E7%89%B9%E5%8D%80-%E8%BE%B216-%E9%AB%98%E9%9B%84%E8%BE%B216-%E5%87%B9%E5%AD%90%E5%BA%95/</t>
        </is>
      </c>
    </row>
    <row r="393">
      <c r="A393" s="5" t="n">
        <v>392</v>
      </c>
      <c r="B393" s="5" t="inlineStr">
        <is>
          <t>高雄市</t>
        </is>
      </c>
      <c r="C393" s="5" t="inlineStr">
        <is>
          <t>A21006</t>
        </is>
      </c>
      <c r="D393" s="5" t="inlineStr">
        <is>
          <t>kaohsiung</t>
        </is>
      </c>
      <c r="E393" s="5" t="inlineStr">
        <is>
          <t>農16特區</t>
        </is>
      </c>
      <c r="F393" s="5" t="inlineStr">
        <is>
          <t>區段徵收</t>
        </is>
      </c>
      <c r="G393" s="5" t="inlineStr">
        <is>
          <t>富邦高雄之星</t>
        </is>
      </c>
      <c r="H393" s="5" t="inlineStr">
        <is>
          <t>富邦建設</t>
        </is>
      </c>
      <c r="I393" s="5" t="inlineStr">
        <is>
          <t>71戶</t>
        </is>
      </c>
      <c r="J393" s="5" t="inlineStr"/>
      <c r="K393" s="5" t="inlineStr"/>
      <c r="L393" s="5" t="inlineStr"/>
      <c r="M393" s="5" t="inlineStr">
        <is>
          <t>預售</t>
        </is>
      </c>
      <c r="N393" s="5" t="inlineStr">
        <is>
          <t>L3</t>
        </is>
      </c>
      <c r="O393" s="5" t="inlineStr">
        <is>
          <t>https://www.housefeel.com.tw/article/%E8%BE%B216%E7%89%B9%E5%8D%80-%E8%BE%B216-%E9%AB%98%E9%9B%84%E8%BE%B216-%E5%87%B9%E5%AD%90%E5%BA%95/</t>
        </is>
      </c>
    </row>
    <row r="394">
      <c r="A394" s="5" t="n">
        <v>393</v>
      </c>
      <c r="B394" s="5" t="inlineStr">
        <is>
          <t>高雄市</t>
        </is>
      </c>
      <c r="C394" s="5" t="inlineStr">
        <is>
          <t>A21006</t>
        </is>
      </c>
      <c r="D394" s="5" t="inlineStr">
        <is>
          <t>kaohsiung</t>
        </is>
      </c>
      <c r="E394" s="5" t="inlineStr">
        <is>
          <t>農16特區</t>
        </is>
      </c>
      <c r="F394" s="5" t="inlineStr">
        <is>
          <t>區段徵收</t>
        </is>
      </c>
      <c r="G394" s="5" t="inlineStr">
        <is>
          <t>克里翁</t>
        </is>
      </c>
      <c r="H394" s="5" t="inlineStr"/>
      <c r="I394" s="5" t="inlineStr">
        <is>
          <t>78戶</t>
        </is>
      </c>
      <c r="J394" s="5" t="inlineStr"/>
      <c r="K394" s="5" t="inlineStr">
        <is>
          <t>41.07萬/坪</t>
        </is>
      </c>
      <c r="L394" s="5" t="inlineStr"/>
      <c r="M394" s="5" t="inlineStr">
        <is>
          <t>已完工</t>
        </is>
      </c>
      <c r="N394" s="5" t="inlineStr">
        <is>
          <t>L3</t>
        </is>
      </c>
      <c r="O394" s="5" t="inlineStr">
        <is>
          <t>https://www.housefeel.com.tw/article/%E8%BE%B216%E7%89%B9%E5%8D%80-%E8%BE%B216-%E9%AB%98%E9%9B%84%E8%BE%B216-%E5%87%B9%E5%AD%90%E5%BA%95/</t>
        </is>
      </c>
    </row>
    <row r="395">
      <c r="A395" s="5" t="n">
        <v>394</v>
      </c>
      <c r="B395" s="5" t="inlineStr">
        <is>
          <t>高雄市</t>
        </is>
      </c>
      <c r="C395" s="5" t="inlineStr">
        <is>
          <t>A21006</t>
        </is>
      </c>
      <c r="D395" s="5" t="inlineStr">
        <is>
          <t>kaohsiung</t>
        </is>
      </c>
      <c r="E395" s="5" t="inlineStr">
        <is>
          <t>農16特區</t>
        </is>
      </c>
      <c r="F395" s="5" t="inlineStr">
        <is>
          <t>區段徵收</t>
        </is>
      </c>
      <c r="G395" s="5" t="inlineStr">
        <is>
          <t>國王城堡</t>
        </is>
      </c>
      <c r="H395" s="5" t="inlineStr"/>
      <c r="I395" s="5" t="inlineStr">
        <is>
          <t>141戶</t>
        </is>
      </c>
      <c r="J395" s="5" t="inlineStr"/>
      <c r="K395" s="5" t="inlineStr"/>
      <c r="L395" s="5" t="inlineStr"/>
      <c r="M395" s="5" t="inlineStr">
        <is>
          <t>已完工</t>
        </is>
      </c>
      <c r="N395" s="5" t="inlineStr">
        <is>
          <t>L3</t>
        </is>
      </c>
      <c r="O395" s="5" t="inlineStr">
        <is>
          <t>https://www.housefeel.com.tw/article/%E8%BE%B216%E7%89%B9%E5%8D%80-%E8%BE%B216-%E9%AB%98%E9%9B%84%E8%BE%B216-%E5%87%B9%E5%AD%90%E5%BA%95/</t>
        </is>
      </c>
    </row>
    <row r="396">
      <c r="A396" s="5" t="n">
        <v>395</v>
      </c>
      <c r="B396" s="5" t="inlineStr">
        <is>
          <t>高雄市</t>
        </is>
      </c>
      <c r="C396" s="5" t="inlineStr">
        <is>
          <t>A21006</t>
        </is>
      </c>
      <c r="D396" s="5" t="inlineStr">
        <is>
          <t>kaohsiung</t>
        </is>
      </c>
      <c r="E396" s="5" t="inlineStr">
        <is>
          <t>農16特區</t>
        </is>
      </c>
      <c r="F396" s="5" t="inlineStr">
        <is>
          <t>區段徵收</t>
        </is>
      </c>
      <c r="G396" s="5" t="inlineStr">
        <is>
          <t>雄崗花園美術館</t>
        </is>
      </c>
      <c r="H396" s="5" t="inlineStr">
        <is>
          <t>雄崗建設</t>
        </is>
      </c>
      <c r="I396" s="5" t="inlineStr">
        <is>
          <t>41戶</t>
        </is>
      </c>
      <c r="J396" s="5" t="inlineStr">
        <is>
          <t>85-152坪</t>
        </is>
      </c>
      <c r="K396" s="5" t="inlineStr"/>
      <c r="L396" s="5" t="inlineStr"/>
      <c r="M396" s="5" t="inlineStr">
        <is>
          <t>已完工</t>
        </is>
      </c>
      <c r="N396" s="5" t="inlineStr">
        <is>
          <t>L3</t>
        </is>
      </c>
      <c r="O396" s="5" t="inlineStr">
        <is>
          <t>https://www.housefeel.com.tw/article/%E8%BE%B216%E7%89%B9%E5%8D%80-%E8%BE%B216-%E9%AB%98%E9%9B%84%E8%BE%B216-%E5%87%B9%E5%AD%90%E5%BA%95/</t>
        </is>
      </c>
    </row>
    <row r="397">
      <c r="A397" s="5" t="n">
        <v>396</v>
      </c>
      <c r="B397" s="5" t="inlineStr">
        <is>
          <t>高雄市</t>
        </is>
      </c>
      <c r="C397" s="5" t="inlineStr">
        <is>
          <t>A21006</t>
        </is>
      </c>
      <c r="D397" s="5" t="inlineStr">
        <is>
          <t>kaohsiung</t>
        </is>
      </c>
      <c r="E397" s="5" t="inlineStr">
        <is>
          <t>農16特區</t>
        </is>
      </c>
      <c r="F397" s="5" t="inlineStr">
        <is>
          <t>區段徵收</t>
        </is>
      </c>
      <c r="G397" s="5" t="inlineStr">
        <is>
          <t>帝品苑</t>
        </is>
      </c>
      <c r="H397" s="5" t="inlineStr"/>
      <c r="I397" s="5" t="inlineStr">
        <is>
          <t>181戶</t>
        </is>
      </c>
      <c r="J397" s="5" t="inlineStr">
        <is>
          <t>53-100坪</t>
        </is>
      </c>
      <c r="K397" s="5" t="inlineStr">
        <is>
          <t>45.13萬/坪</t>
        </is>
      </c>
      <c r="L397" s="5" t="inlineStr"/>
      <c r="M397" s="5" t="inlineStr">
        <is>
          <t>已完工</t>
        </is>
      </c>
      <c r="N397" s="5" t="inlineStr">
        <is>
          <t>L3</t>
        </is>
      </c>
      <c r="O397" s="5" t="inlineStr">
        <is>
          <t>https://www.housefeel.com.tw/article/%E8%BE%B216%E7%89%B9%E5%8D%80-%E8%BE%B216-%E9%AB%98%E9%9B%84%E8%BE%B216-%E5%87%B9%E5%AD%90%E5%BA%95/</t>
        </is>
      </c>
    </row>
    <row r="398">
      <c r="A398" s="5" t="n">
        <v>397</v>
      </c>
      <c r="B398" s="5" t="inlineStr">
        <is>
          <t>高雄市</t>
        </is>
      </c>
      <c r="C398" s="5" t="inlineStr">
        <is>
          <t>A21006</t>
        </is>
      </c>
      <c r="D398" s="5" t="inlineStr">
        <is>
          <t>kaohsiung</t>
        </is>
      </c>
      <c r="E398" s="5" t="inlineStr">
        <is>
          <t>農16特區</t>
        </is>
      </c>
      <c r="F398" s="5" t="inlineStr">
        <is>
          <t>區段徵收</t>
        </is>
      </c>
      <c r="G398" s="5" t="inlineStr">
        <is>
          <t>華人滙</t>
        </is>
      </c>
      <c r="H398" s="5" t="inlineStr"/>
      <c r="I398" s="5" t="inlineStr">
        <is>
          <t>252戶</t>
        </is>
      </c>
      <c r="J398" s="5" t="inlineStr">
        <is>
          <t>101-119坪</t>
        </is>
      </c>
      <c r="K398" s="5" t="inlineStr">
        <is>
          <t>31.17萬/坪</t>
        </is>
      </c>
      <c r="L398" s="5" t="inlineStr"/>
      <c r="M398" s="5" t="inlineStr">
        <is>
          <t>已完工</t>
        </is>
      </c>
      <c r="N398" s="5" t="inlineStr">
        <is>
          <t>L3</t>
        </is>
      </c>
      <c r="O398" s="5" t="inlineStr">
        <is>
          <t>https://www.housefeel.com.tw/article/%E8%BE%B216%E7%89%B9%E5%8D%80-%E8%BE%B216-%E9%AB%98%E9%9B%84%E8%BE%B216-%E5%87%B9%E5%AD%90%E5%BA%95/</t>
        </is>
      </c>
    </row>
    <row r="399">
      <c r="A399" s="5" t="n">
        <v>398</v>
      </c>
      <c r="B399" s="5" t="inlineStr">
        <is>
          <t>高雄市</t>
        </is>
      </c>
      <c r="C399" s="5" t="inlineStr">
        <is>
          <t>A21006</t>
        </is>
      </c>
      <c r="D399" s="5" t="inlineStr">
        <is>
          <t>kaohsiung</t>
        </is>
      </c>
      <c r="E399" s="5" t="inlineStr">
        <is>
          <t>農16特區</t>
        </is>
      </c>
      <c r="F399" s="5" t="inlineStr">
        <is>
          <t>區段徵收</t>
        </is>
      </c>
      <c r="G399" s="5" t="inlineStr">
        <is>
          <t>皇苑世紀館</t>
        </is>
      </c>
      <c r="H399" s="5" t="inlineStr"/>
      <c r="I399" s="5" t="inlineStr">
        <is>
          <t>100戶</t>
        </is>
      </c>
      <c r="J399" s="5" t="inlineStr"/>
      <c r="K399" s="5" t="inlineStr">
        <is>
          <t>49.72萬/坪</t>
        </is>
      </c>
      <c r="L399" s="5" t="inlineStr"/>
      <c r="M399" s="5" t="inlineStr">
        <is>
          <t>已完工</t>
        </is>
      </c>
      <c r="N399" s="5" t="inlineStr">
        <is>
          <t>L3</t>
        </is>
      </c>
      <c r="O399" s="5" t="inlineStr">
        <is>
          <t>https://www.housefeel.com.tw/article/%E8%BE%B216%E7%89%B9%E5%8D%80-%E8%BE%B216-%E9%AB%98%E9%9B%84%E8%BE%B216-%E5%87%B9%E5%AD%90%E5%BA%95/</t>
        </is>
      </c>
    </row>
    <row r="400">
      <c r="A400" s="5" t="n">
        <v>399</v>
      </c>
      <c r="B400" s="5" t="inlineStr">
        <is>
          <t>高雄市</t>
        </is>
      </c>
      <c r="C400" s="5" t="inlineStr">
        <is>
          <t>A21006</t>
        </is>
      </c>
      <c r="D400" s="5" t="inlineStr">
        <is>
          <t>kaohsiung</t>
        </is>
      </c>
      <c r="E400" s="5" t="inlineStr">
        <is>
          <t>農16特區</t>
        </is>
      </c>
      <c r="F400" s="5" t="inlineStr">
        <is>
          <t>區段徵收</t>
        </is>
      </c>
      <c r="G400" s="5" t="inlineStr">
        <is>
          <t>京城天贊</t>
        </is>
      </c>
      <c r="H400" s="5" t="inlineStr">
        <is>
          <t>京城建設</t>
        </is>
      </c>
      <c r="I400" s="5" t="inlineStr">
        <is>
          <t>126戶</t>
        </is>
      </c>
      <c r="J400" s="5" t="inlineStr">
        <is>
          <t>100坪</t>
        </is>
      </c>
      <c r="K400" s="5" t="inlineStr">
        <is>
          <t>68.47萬/坪</t>
        </is>
      </c>
      <c r="L400" s="5" t="inlineStr"/>
      <c r="M400" s="5" t="inlineStr">
        <is>
          <t>已完工</t>
        </is>
      </c>
      <c r="N400" s="5" t="inlineStr">
        <is>
          <t>L3</t>
        </is>
      </c>
      <c r="O400" s="5" t="inlineStr">
        <is>
          <t>https://www.housefeel.com.tw/article/%E8%BE%B216%E7%89%B9%E5%8D%80-%E8%BE%B216-%E9%AB%98%E9%9B%84%E8%BE%B216-%E5%87%B9%E5%AD%90%E5%BA%95/</t>
        </is>
      </c>
    </row>
    <row r="401">
      <c r="A401" s="5" t="n">
        <v>400</v>
      </c>
      <c r="B401" s="5" t="inlineStr">
        <is>
          <t>高雄市</t>
        </is>
      </c>
      <c r="C401" s="5" t="inlineStr">
        <is>
          <t>A21006</t>
        </is>
      </c>
      <c r="D401" s="5" t="inlineStr">
        <is>
          <t>kaohsiung</t>
        </is>
      </c>
      <c r="E401" s="5" t="inlineStr">
        <is>
          <t>農16特區</t>
        </is>
      </c>
      <c r="F401" s="5" t="inlineStr">
        <is>
          <t>區段徵收</t>
        </is>
      </c>
      <c r="G401" s="5" t="inlineStr">
        <is>
          <t>漫光蒙梭</t>
        </is>
      </c>
      <c r="H401" s="5" t="inlineStr"/>
      <c r="I401" s="5" t="inlineStr">
        <is>
          <t>50戶</t>
        </is>
      </c>
      <c r="J401" s="5" t="inlineStr">
        <is>
          <t>68-97坪</t>
        </is>
      </c>
      <c r="K401" s="5" t="inlineStr"/>
      <c r="L401" s="5" t="inlineStr"/>
      <c r="M401" s="5" t="inlineStr">
        <is>
          <t>已完工</t>
        </is>
      </c>
      <c r="N401" s="5" t="inlineStr">
        <is>
          <t>L3</t>
        </is>
      </c>
      <c r="O401" s="5" t="inlineStr">
        <is>
          <t>https://www.housefeel.com.tw/article/%E8%BE%B216%E7%89%B9%E5%8D%80-%E8%BE%B216-%E9%AB%98%E9%9B%84%E8%BE%B216-%E5%87%B9%E5%AD%90%E5%BA%95/</t>
        </is>
      </c>
    </row>
    <row r="402">
      <c r="A402" s="5" t="n">
        <v>401</v>
      </c>
      <c r="B402" s="5" t="inlineStr">
        <is>
          <t>高雄市</t>
        </is>
      </c>
      <c r="C402" s="5" t="inlineStr">
        <is>
          <t>A21006</t>
        </is>
      </c>
      <c r="D402" s="5" t="inlineStr">
        <is>
          <t>kaohsiung</t>
        </is>
      </c>
      <c r="E402" s="5" t="inlineStr">
        <is>
          <t>農16特區</t>
        </is>
      </c>
      <c r="F402" s="5" t="inlineStr">
        <is>
          <t>區段徵收</t>
        </is>
      </c>
      <c r="G402" s="5" t="inlineStr">
        <is>
          <t>雄崗信義美術館</t>
        </is>
      </c>
      <c r="H402" s="5" t="inlineStr">
        <is>
          <t>雄崗建設</t>
        </is>
      </c>
      <c r="I402" s="5" t="inlineStr">
        <is>
          <t>98戶</t>
        </is>
      </c>
      <c r="J402" s="5" t="inlineStr">
        <is>
          <t>112-230坪</t>
        </is>
      </c>
      <c r="K402" s="5" t="inlineStr"/>
      <c r="L402" s="5" t="inlineStr"/>
      <c r="M402" s="5" t="inlineStr">
        <is>
          <t>已完工</t>
        </is>
      </c>
      <c r="N402" s="5" t="inlineStr">
        <is>
          <t>L3</t>
        </is>
      </c>
      <c r="O402" s="5" t="inlineStr">
        <is>
          <t>https://kaohsiung.housetube.tw/15056；https://www.housefeel.com.tw/article/%E8%BE%B216%E7%89%B9%E5%8D%80-%E8%BE%B216-%E9%AB%98%E9%9B%84%E8%BE%B216-%E5%87%B9%E5%AD%90%E5%BA%95/</t>
        </is>
      </c>
    </row>
    <row r="403">
      <c r="A403" s="5" t="n">
        <v>402</v>
      </c>
      <c r="B403" s="5" t="inlineStr">
        <is>
          <t>高雄市</t>
        </is>
      </c>
      <c r="C403" s="5" t="inlineStr">
        <is>
          <t>A21006</t>
        </is>
      </c>
      <c r="D403" s="5" t="inlineStr">
        <is>
          <t>kaohsiung</t>
        </is>
      </c>
      <c r="E403" s="5" t="inlineStr">
        <is>
          <t>亞洲新灣區</t>
        </is>
      </c>
      <c r="F403" s="5" t="inlineStr">
        <is>
          <t>區段徵收</t>
        </is>
      </c>
      <c r="G403" s="5" t="inlineStr">
        <is>
          <t>潤隆灣流1號</t>
        </is>
      </c>
      <c r="H403" s="5" t="inlineStr">
        <is>
          <t>潤隆建設</t>
        </is>
      </c>
      <c r="I403" s="5" t="inlineStr">
        <is>
          <t>652戶</t>
        </is>
      </c>
      <c r="J403" s="5" t="inlineStr"/>
      <c r="K403" s="5" t="inlineStr"/>
      <c r="L403" s="5" t="inlineStr"/>
      <c r="M403" s="5" t="inlineStr">
        <is>
          <t>預售</t>
        </is>
      </c>
      <c r="N403" s="5" t="inlineStr">
        <is>
          <t>L3</t>
        </is>
      </c>
      <c r="O403" s="5" t="inlineStr">
        <is>
          <t>https://www.housefeel.com.tw/article/%E4%BA%9E%E6%B4%B2%E6%96%B0%E7%81%A3%E5%8D%80-%E4%BA%9E%E7%81%A3-%E4%BA%9E%E7%81%A3%E5%8D%80-%E9%AB%98%E9%9B%84%E4%BA%9E%E7%81%A3/</t>
        </is>
      </c>
    </row>
    <row r="404">
      <c r="A404" s="5" t="n">
        <v>403</v>
      </c>
      <c r="B404" s="5" t="inlineStr">
        <is>
          <t>高雄市</t>
        </is>
      </c>
      <c r="C404" s="5" t="inlineStr">
        <is>
          <t>A21006</t>
        </is>
      </c>
      <c r="D404" s="5" t="inlineStr">
        <is>
          <t>kaohsiung</t>
        </is>
      </c>
      <c r="E404" s="5" t="inlineStr">
        <is>
          <t>亞洲新灣區</t>
        </is>
      </c>
      <c r="F404" s="5" t="inlineStr">
        <is>
          <t>區段徵收</t>
        </is>
      </c>
      <c r="G404" s="5" t="inlineStr">
        <is>
          <t>明森沐海</t>
        </is>
      </c>
      <c r="H404" s="5" t="inlineStr"/>
      <c r="I404" s="5" t="inlineStr">
        <is>
          <t>16戶</t>
        </is>
      </c>
      <c r="J404" s="5" t="inlineStr">
        <is>
          <t>22-29坪</t>
        </is>
      </c>
      <c r="K404" s="5" t="inlineStr">
        <is>
          <t>50-55萬/坪</t>
        </is>
      </c>
      <c r="L404" s="5" t="inlineStr"/>
      <c r="M404" s="5" t="inlineStr">
        <is>
          <t>預售</t>
        </is>
      </c>
      <c r="N404" s="5" t="inlineStr">
        <is>
          <t>L3</t>
        </is>
      </c>
      <c r="O404" s="5" t="inlineStr">
        <is>
          <t>https://www.housefeel.com.tw/article/%E4%BA%9E%E6%B4%B2%E6%96%B0%E7%81%A3%E5%8D%80-%E4%BA%9E%E7%81%A3-%E4%BA%9E%E7%81%A3%E5%8D%80-%E9%AB%98%E9%9B%84%E4%BA%9E%E7%81%A3/</t>
        </is>
      </c>
    </row>
    <row r="405">
      <c r="A405" s="5" t="n">
        <v>404</v>
      </c>
      <c r="B405" s="5" t="inlineStr">
        <is>
          <t>高雄市</t>
        </is>
      </c>
      <c r="C405" s="5" t="inlineStr">
        <is>
          <t>A21006</t>
        </is>
      </c>
      <c r="D405" s="5" t="inlineStr">
        <is>
          <t>kaohsiung</t>
        </is>
      </c>
      <c r="E405" s="5" t="inlineStr">
        <is>
          <t>亞洲新灣區</t>
        </is>
      </c>
      <c r="F405" s="5" t="inlineStr">
        <is>
          <t>區段徵收</t>
        </is>
      </c>
      <c r="G405" s="5" t="inlineStr">
        <is>
          <t>港灣1號院</t>
        </is>
      </c>
      <c r="H405" s="5" t="inlineStr"/>
      <c r="I405" s="5" t="inlineStr">
        <is>
          <t>1115戶</t>
        </is>
      </c>
      <c r="J405" s="5" t="inlineStr">
        <is>
          <t>14-36坪</t>
        </is>
      </c>
      <c r="K405" s="5" t="inlineStr">
        <is>
          <t>40.75萬/坪</t>
        </is>
      </c>
      <c r="L405" s="5" t="inlineStr"/>
      <c r="M405" s="5" t="inlineStr">
        <is>
          <t>預售</t>
        </is>
      </c>
      <c r="N405" s="5" t="inlineStr">
        <is>
          <t>L3</t>
        </is>
      </c>
      <c r="O405" s="5" t="inlineStr">
        <is>
          <t>https://www.housefeel.com.tw/article/%E4%BA%9E%E6%B4%B2%E6%96%B0%E7%81%A3%E5%8D%80-%E4%BA%9E%E7%81%A3-%E4%BA%9E%E7%81%A3%E5%8D%80-%E9%AB%98%E9%9B%84%E4%BA%9E%E7%81%A3/</t>
        </is>
      </c>
    </row>
    <row r="406">
      <c r="A406" s="5" t="n">
        <v>405</v>
      </c>
      <c r="B406" s="5" t="inlineStr">
        <is>
          <t>高雄市</t>
        </is>
      </c>
      <c r="C406" s="5" t="inlineStr">
        <is>
          <t>A21006</t>
        </is>
      </c>
      <c r="D406" s="5" t="inlineStr">
        <is>
          <t>kaohsiung</t>
        </is>
      </c>
      <c r="E406" s="5" t="inlineStr">
        <is>
          <t>亞洲新灣區</t>
        </is>
      </c>
      <c r="F406" s="5" t="inlineStr">
        <is>
          <t>區段徵收</t>
        </is>
      </c>
      <c r="G406" s="5" t="inlineStr">
        <is>
          <t>國城定潮</t>
        </is>
      </c>
      <c r="H406" s="5" t="inlineStr">
        <is>
          <t>國城建設</t>
        </is>
      </c>
      <c r="I406" s="5" t="inlineStr">
        <is>
          <t>197戶</t>
        </is>
      </c>
      <c r="J406" s="5" t="inlineStr">
        <is>
          <t>100-300坪</t>
        </is>
      </c>
      <c r="K406" s="5" t="inlineStr">
        <is>
          <t>48.4萬/坪</t>
        </is>
      </c>
      <c r="L406" s="5" t="inlineStr"/>
      <c r="M406" s="5" t="inlineStr">
        <is>
          <t>新成屋</t>
        </is>
      </c>
      <c r="N406" s="5" t="inlineStr">
        <is>
          <t>L3</t>
        </is>
      </c>
      <c r="O406" s="5" t="inlineStr">
        <is>
          <t>https://www.housefeel.com.tw/article/%E4%BA%9E%E6%B4%B2%E6%96%B0%E7%81%A3%E5%8D%80-%E4%BA%9E%E7%81%A3-%E4%BA%9E%E7%81%A3%E5%8D%80-%E9%AB%98%E9%9B%84%E4%BA%9E%E7%81%A3/</t>
        </is>
      </c>
    </row>
    <row r="407">
      <c r="A407" s="5" t="n">
        <v>406</v>
      </c>
      <c r="B407" s="5" t="inlineStr">
        <is>
          <t>高雄市</t>
        </is>
      </c>
      <c r="C407" s="5" t="inlineStr">
        <is>
          <t>A21006</t>
        </is>
      </c>
      <c r="D407" s="5" t="inlineStr">
        <is>
          <t>kaohsiung</t>
        </is>
      </c>
      <c r="E407" s="5" t="inlineStr">
        <is>
          <t>亞洲新灣區</t>
        </is>
      </c>
      <c r="F407" s="5" t="inlineStr">
        <is>
          <t>區段徵收</t>
        </is>
      </c>
      <c r="G407" s="5" t="inlineStr">
        <is>
          <t>高永大船入港</t>
        </is>
      </c>
      <c r="H407" s="5" t="inlineStr">
        <is>
          <t>高永建設</t>
        </is>
      </c>
      <c r="I407" s="5" t="inlineStr">
        <is>
          <t>92戶</t>
        </is>
      </c>
      <c r="J407" s="5" t="inlineStr">
        <is>
          <t>90-180坪</t>
        </is>
      </c>
      <c r="K407" s="5" t="inlineStr">
        <is>
          <t>40.85萬/坪</t>
        </is>
      </c>
      <c r="L407" s="5" t="inlineStr"/>
      <c r="M407" s="5" t="inlineStr">
        <is>
          <t>已完工</t>
        </is>
      </c>
      <c r="N407" s="5" t="inlineStr">
        <is>
          <t>L3</t>
        </is>
      </c>
      <c r="O407" s="5" t="inlineStr">
        <is>
          <t>https://www.housefeel.com.tw/article/%E4%BA%9E%E6%B4%B2%E6%96%B0%E7%81%A3%E5%8D%80-%E4%BA%9E%E7%81%A3-%E4%BA%9E%E7%81%A3%E5%8D%80-%E9%AB%98%E9%9B%84%E4%BA%9E%E7%81%A3/</t>
        </is>
      </c>
    </row>
    <row r="408">
      <c r="A408" s="5" t="n">
        <v>407</v>
      </c>
      <c r="B408" s="5" t="inlineStr">
        <is>
          <t>高雄市</t>
        </is>
      </c>
      <c r="C408" s="5" t="inlineStr">
        <is>
          <t>A21006</t>
        </is>
      </c>
      <c r="D408" s="5" t="inlineStr">
        <is>
          <t>kaohsiung</t>
        </is>
      </c>
      <c r="E408" s="5" t="inlineStr">
        <is>
          <t>亞洲新灣區</t>
        </is>
      </c>
      <c r="F408" s="5" t="inlineStr">
        <is>
          <t>區段徵收</t>
        </is>
      </c>
      <c r="G408" s="5" t="inlineStr">
        <is>
          <t>遠雄The One</t>
        </is>
      </c>
      <c r="H408" s="5" t="inlineStr">
        <is>
          <t>遠雄建設</t>
        </is>
      </c>
      <c r="I408" s="5" t="inlineStr">
        <is>
          <t>239戶</t>
        </is>
      </c>
      <c r="J408" s="5" t="inlineStr">
        <is>
          <t>153-183坪</t>
        </is>
      </c>
      <c r="K408" s="5" t="inlineStr">
        <is>
          <t>43.66萬/坪</t>
        </is>
      </c>
      <c r="L408" s="5" t="inlineStr"/>
      <c r="M408" s="5" t="inlineStr">
        <is>
          <t>已完工</t>
        </is>
      </c>
      <c r="N408" s="5" t="inlineStr">
        <is>
          <t>L3</t>
        </is>
      </c>
      <c r="O408" s="5" t="inlineStr">
        <is>
          <t>https://www.housefeel.com.tw/article/%E4%BA%9E%E6%B4%B2%E6%96%B0%E7%81%A3%E5%8D%80-%E4%BA%9E%E7%81%A3-%E4%BA%9E%E7%81%A3%E5%8D%80-%E9%AB%98%E9%9B%84%E4%BA%9E%E7%81%A3/</t>
        </is>
      </c>
    </row>
    <row r="409">
      <c r="A409" s="5" t="n">
        <v>408</v>
      </c>
      <c r="B409" s="5" t="inlineStr">
        <is>
          <t>高雄市</t>
        </is>
      </c>
      <c r="C409" s="5" t="inlineStr">
        <is>
          <t>A21006</t>
        </is>
      </c>
      <c r="D409" s="5" t="inlineStr">
        <is>
          <t>kaohsiung</t>
        </is>
      </c>
      <c r="E409" s="5" t="inlineStr">
        <is>
          <t>亞洲新灣區</t>
        </is>
      </c>
      <c r="F409" s="5" t="inlineStr">
        <is>
          <t>區段徵收</t>
        </is>
      </c>
      <c r="G409" s="5" t="inlineStr">
        <is>
          <t>欣灣時代</t>
        </is>
      </c>
      <c r="H409" s="5" t="inlineStr">
        <is>
          <t>欣達建設</t>
        </is>
      </c>
      <c r="I409" s="5" t="inlineStr">
        <is>
          <t>386戶</t>
        </is>
      </c>
      <c r="J409" s="5" t="inlineStr">
        <is>
          <t>41-107坪</t>
        </is>
      </c>
      <c r="K409" s="5" t="inlineStr">
        <is>
          <t>38.17萬/坪</t>
        </is>
      </c>
      <c r="L409" s="5" t="inlineStr"/>
      <c r="M409" s="5" t="inlineStr">
        <is>
          <t>已完工</t>
        </is>
      </c>
      <c r="N409" s="5" t="inlineStr">
        <is>
          <t>L3</t>
        </is>
      </c>
      <c r="O409" s="5" t="inlineStr">
        <is>
          <t>https://www.housefeel.com.tw/article/%E4%BA%9E%E6%B4%B2%E6%96%B0%E7%81%A3%E5%8D%80-%E4%BA%9E%E7%81%A3-%E4%BA%9E%E7%81%A3%E5%8D%80-%E9%AB%98%E9%9B%84%E4%BA%9E%E7%81%A3/</t>
        </is>
      </c>
    </row>
    <row r="410">
      <c r="A410" s="5" t="n">
        <v>409</v>
      </c>
      <c r="B410" s="5" t="inlineStr">
        <is>
          <t>高雄市</t>
        </is>
      </c>
      <c r="C410" s="5" t="inlineStr">
        <is>
          <t>A21006</t>
        </is>
      </c>
      <c r="D410" s="5" t="inlineStr">
        <is>
          <t>kaohsiung</t>
        </is>
      </c>
      <c r="E410" s="5" t="inlineStr">
        <is>
          <t>亞洲新灣區</t>
        </is>
      </c>
      <c r="F410" s="5" t="inlineStr">
        <is>
          <t>區段徵收</t>
        </is>
      </c>
      <c r="G410" s="5" t="inlineStr">
        <is>
          <t>亞灣之丘</t>
        </is>
      </c>
      <c r="H410" s="5" t="inlineStr"/>
      <c r="I410" s="5" t="inlineStr">
        <is>
          <t>58戶</t>
        </is>
      </c>
      <c r="J410" s="5" t="inlineStr">
        <is>
          <t>125-131坪</t>
        </is>
      </c>
      <c r="K410" s="5" t="inlineStr">
        <is>
          <t>34.22萬/坪</t>
        </is>
      </c>
      <c r="L410" s="5" t="inlineStr"/>
      <c r="M410" s="5" t="inlineStr">
        <is>
          <t>已完工</t>
        </is>
      </c>
      <c r="N410" s="5" t="inlineStr">
        <is>
          <t>L3</t>
        </is>
      </c>
      <c r="O410" s="5" t="inlineStr">
        <is>
          <t>https://www.housefeel.com.tw/article/%E4%BA%9E%E6%B4%B2%E6%96%B0%E7%81%A3%E5%8D%80-%E4%BA%9E%E7%81%A3-%E4%BA%9E%E7%81%A3%E5%8D%80-%E9%AB%98%E9%9B%84%E4%BA%9E%E7%81%A3/</t>
        </is>
      </c>
    </row>
    <row r="411">
      <c r="A411" s="5" t="n">
        <v>410</v>
      </c>
      <c r="B411" s="5" t="inlineStr">
        <is>
          <t>高雄市</t>
        </is>
      </c>
      <c r="C411" s="5" t="inlineStr">
        <is>
          <t>A21006</t>
        </is>
      </c>
      <c r="D411" s="5" t="inlineStr">
        <is>
          <t>kaohsiung</t>
        </is>
      </c>
      <c r="E411" s="5" t="inlineStr">
        <is>
          <t>亞洲新灣區</t>
        </is>
      </c>
      <c r="F411" s="5" t="inlineStr">
        <is>
          <t>區段徵收</t>
        </is>
      </c>
      <c r="G411" s="5" t="inlineStr">
        <is>
          <t>碧波灣</t>
        </is>
      </c>
      <c r="H411" s="5" t="inlineStr"/>
      <c r="I411" s="5" t="inlineStr">
        <is>
          <t>53戶</t>
        </is>
      </c>
      <c r="J411" s="5" t="inlineStr">
        <is>
          <t>26-45坪</t>
        </is>
      </c>
      <c r="K411" s="5" t="inlineStr">
        <is>
          <t>31.99萬/坪</t>
        </is>
      </c>
      <c r="L411" s="5" t="inlineStr"/>
      <c r="M411" s="5" t="inlineStr">
        <is>
          <t>已完工</t>
        </is>
      </c>
      <c r="N411" s="5" t="inlineStr">
        <is>
          <t>L3</t>
        </is>
      </c>
      <c r="O411" s="5" t="inlineStr">
        <is>
          <t>https://www.housefeel.com.tw/article/%E4%BA%9E%E6%B4%B2%E6%96%B0%E7%81%A3%E5%8D%80-%E4%BA%9E%E7%81%A3-%E4%BA%9E%E7%81%A3%E5%8D%80-%E9%AB%98%E9%9B%84%E4%BA%9E%E7%81%A3/</t>
        </is>
      </c>
    </row>
    <row r="412">
      <c r="A412" s="5" t="n">
        <v>411</v>
      </c>
      <c r="B412" s="5" t="inlineStr">
        <is>
          <t>高雄市</t>
        </is>
      </c>
      <c r="C412" s="5" t="inlineStr">
        <is>
          <t>A21006</t>
        </is>
      </c>
      <c r="D412" s="5" t="inlineStr">
        <is>
          <t>kaohsiung</t>
        </is>
      </c>
      <c r="E412" s="5" t="inlineStr">
        <is>
          <t>亞洲新灣區</t>
        </is>
      </c>
      <c r="F412" s="5" t="inlineStr">
        <is>
          <t>區段徵收</t>
        </is>
      </c>
      <c r="G412" s="5" t="inlineStr">
        <is>
          <t>百立海洋帝寶</t>
        </is>
      </c>
      <c r="H412" s="5" t="inlineStr">
        <is>
          <t>百立建設</t>
        </is>
      </c>
      <c r="I412" s="5" t="inlineStr">
        <is>
          <t>50戶</t>
        </is>
      </c>
      <c r="J412" s="5" t="inlineStr">
        <is>
          <t>120坪</t>
        </is>
      </c>
      <c r="K412" s="5" t="inlineStr"/>
      <c r="L412" s="5" t="inlineStr"/>
      <c r="M412" s="5" t="inlineStr">
        <is>
          <t>已完工</t>
        </is>
      </c>
      <c r="N412" s="5" t="inlineStr">
        <is>
          <t>L3</t>
        </is>
      </c>
      <c r="O412" s="5" t="inlineStr">
        <is>
          <t>https://www.housefeel.com.tw/article/%E4%BA%9E%E6%B4%B2%E6%96%B0%E7%81%A3%E5%8D%80-%E4%BA%9E%E7%81%A3-%E4%BA%9E%E7%81%A3%E5%8D%80-%E9%AB%98%E9%9B%84%E4%BA%9E%E7%81%A3/</t>
        </is>
      </c>
    </row>
    <row r="413">
      <c r="A413" s="5" t="n">
        <v>412</v>
      </c>
      <c r="B413" s="5" t="inlineStr">
        <is>
          <t>高雄市</t>
        </is>
      </c>
      <c r="C413" s="5" t="inlineStr">
        <is>
          <t>A21006</t>
        </is>
      </c>
      <c r="D413" s="5" t="inlineStr">
        <is>
          <t>kaohsiung</t>
        </is>
      </c>
      <c r="E413" s="5" t="inlineStr">
        <is>
          <t>亞洲新灣區</t>
        </is>
      </c>
      <c r="F413" s="5" t="inlineStr">
        <is>
          <t>區段徵收</t>
        </is>
      </c>
      <c r="G413" s="5" t="inlineStr">
        <is>
          <t>國硯</t>
        </is>
      </c>
      <c r="H413" s="5" t="inlineStr">
        <is>
          <t>國揚建設</t>
        </is>
      </c>
      <c r="I413" s="5" t="inlineStr">
        <is>
          <t>179戶</t>
        </is>
      </c>
      <c r="J413" s="5" t="inlineStr">
        <is>
          <t>109-157坪</t>
        </is>
      </c>
      <c r="K413" s="5" t="inlineStr"/>
      <c r="L413" s="5" t="inlineStr"/>
      <c r="M413" s="5" t="inlineStr">
        <is>
          <t>已完工</t>
        </is>
      </c>
      <c r="N413" s="5" t="inlineStr">
        <is>
          <t>L3</t>
        </is>
      </c>
      <c r="O413" s="5" t="inlineStr">
        <is>
          <t>https://www.housefeel.com.tw/article/%E4%BA%9E%E6%B4%B2%E6%96%B0%E7%81%A3%E5%8D%80-%E4%BA%9E%E7%81%A3-%E4%BA%9E%E7%81%A3%E5%8D%80-%E9%AB%98%E9%9B%84%E4%BA%9E%E7%81%A3/</t>
        </is>
      </c>
    </row>
    <row r="414">
      <c r="A414" s="5" t="n">
        <v>413</v>
      </c>
      <c r="B414" s="5" t="inlineStr">
        <is>
          <t>高雄市</t>
        </is>
      </c>
      <c r="C414" s="5" t="inlineStr">
        <is>
          <t>A21006</t>
        </is>
      </c>
      <c r="D414" s="5" t="inlineStr">
        <is>
          <t>kaohsiung</t>
        </is>
      </c>
      <c r="E414" s="5" t="inlineStr">
        <is>
          <t>亞洲新灣區</t>
        </is>
      </c>
      <c r="F414" s="5" t="inlineStr">
        <is>
          <t>區段徵收</t>
        </is>
      </c>
      <c r="G414" s="5" t="inlineStr">
        <is>
          <t>一品花園</t>
        </is>
      </c>
      <c r="H414" s="5" t="inlineStr"/>
      <c r="I414" s="5" t="inlineStr">
        <is>
          <t>108戶</t>
        </is>
      </c>
      <c r="J414" s="5" t="inlineStr">
        <is>
          <t>92坪</t>
        </is>
      </c>
      <c r="K414" s="5" t="inlineStr">
        <is>
          <t>33.41萬/坪</t>
        </is>
      </c>
      <c r="L414" s="5" t="inlineStr"/>
      <c r="M414" s="5" t="inlineStr">
        <is>
          <t>已完工</t>
        </is>
      </c>
      <c r="N414" s="5" t="inlineStr">
        <is>
          <t>L3</t>
        </is>
      </c>
      <c r="O414" s="5" t="inlineStr">
        <is>
          <t>https://www.housefeel.com.tw/article/%E4%BA%9E%E6%B4%B2%E6%96%B0%E7%81%A3%E5%8D%80-%E4%BA%9E%E7%81%A3-%E4%BA%9E%E7%81%A3%E5%8D%80-%E9%AB%98%E9%9B%84%E4%BA%9E%E7%81%A3/</t>
        </is>
      </c>
    </row>
    <row r="415">
      <c r="A415" s="5" t="n">
        <v>414</v>
      </c>
      <c r="B415" s="5" t="inlineStr">
        <is>
          <t>高雄市</t>
        </is>
      </c>
      <c r="C415" s="5" t="inlineStr">
        <is>
          <t>A21006</t>
        </is>
      </c>
      <c r="D415" s="5" t="inlineStr">
        <is>
          <t>kaohsiung</t>
        </is>
      </c>
      <c r="E415" s="5" t="inlineStr">
        <is>
          <t>亞洲新灣區</t>
        </is>
      </c>
      <c r="F415" s="5" t="inlineStr">
        <is>
          <t>區段徵收</t>
        </is>
      </c>
      <c r="G415" s="5" t="inlineStr">
        <is>
          <t>貝拉莫里</t>
        </is>
      </c>
      <c r="H415" s="5" t="inlineStr"/>
      <c r="I415" s="5" t="inlineStr">
        <is>
          <t>132戶</t>
        </is>
      </c>
      <c r="J415" s="5" t="inlineStr">
        <is>
          <t>78-172坪</t>
        </is>
      </c>
      <c r="K415" s="5" t="inlineStr"/>
      <c r="L415" s="5" t="inlineStr"/>
      <c r="M415" s="5" t="inlineStr">
        <is>
          <t>已完工</t>
        </is>
      </c>
      <c r="N415" s="5" t="inlineStr">
        <is>
          <t>L3</t>
        </is>
      </c>
      <c r="O415" s="5" t="inlineStr">
        <is>
          <t>https://www.housefeel.com.tw/article/%E4%BA%9E%E6%B4%B2%E6%96%B0%E7%81%A3%E5%8D%80-%E4%BA%9E%E7%81%A3-%E4%BA%9E%E7%81%A3%E5%8D%80-%E9%AB%98%E9%9B%84%E4%BA%9E%E7%81%A3/</t>
        </is>
      </c>
    </row>
    <row r="416">
      <c r="A416" s="5" t="n">
        <v>415</v>
      </c>
      <c r="B416" s="5" t="inlineStr">
        <is>
          <t>高雄市</t>
        </is>
      </c>
      <c r="C416" s="5" t="inlineStr">
        <is>
          <t>A21006</t>
        </is>
      </c>
      <c r="D416" s="5" t="inlineStr">
        <is>
          <t>kaohsiung</t>
        </is>
      </c>
      <c r="E416" s="5" t="inlineStr">
        <is>
          <t>亞洲新灣區</t>
        </is>
      </c>
      <c r="F416" s="5" t="inlineStr">
        <is>
          <t>區段徵收</t>
        </is>
      </c>
      <c r="G416" s="5" t="inlineStr">
        <is>
          <t>夢世代大樓</t>
        </is>
      </c>
      <c r="H416" s="5" t="inlineStr"/>
      <c r="I416" s="5" t="inlineStr">
        <is>
          <t>217戶</t>
        </is>
      </c>
      <c r="J416" s="5" t="inlineStr">
        <is>
          <t>25-67坪</t>
        </is>
      </c>
      <c r="K416" s="5" t="inlineStr">
        <is>
          <t>31.49萬/坪</t>
        </is>
      </c>
      <c r="L416" s="5" t="inlineStr"/>
      <c r="M416" s="5" t="inlineStr">
        <is>
          <t>已完工</t>
        </is>
      </c>
      <c r="N416" s="5" t="inlineStr">
        <is>
          <t>L3</t>
        </is>
      </c>
      <c r="O416" s="5" t="inlineStr">
        <is>
          <t>https://www.housefeel.com.tw/article/%E4%BA%9E%E6%B4%B2%E6%96%B0%E7%81%A3%E5%8D%80-%E4%BA%9E%E7%81%A3-%E4%BA%9E%E7%81%A3%E5%8D%80-%E9%AB%98%E9%9B%84%E4%BA%9E%E7%81%A3/</t>
        </is>
      </c>
    </row>
    <row r="417">
      <c r="A417" s="5" t="n">
        <v>416</v>
      </c>
      <c r="B417" s="5" t="inlineStr">
        <is>
          <t>高雄市</t>
        </is>
      </c>
      <c r="C417" s="5" t="inlineStr">
        <is>
          <t>A21006</t>
        </is>
      </c>
      <c r="D417" s="5" t="inlineStr">
        <is>
          <t>kaohsiung</t>
        </is>
      </c>
      <c r="E417" s="5" t="inlineStr">
        <is>
          <t>亞洲新灣區</t>
        </is>
      </c>
      <c r="F417" s="5" t="inlineStr">
        <is>
          <t>區段徵收</t>
        </is>
      </c>
      <c r="G417" s="5" t="inlineStr">
        <is>
          <t>陽光情人</t>
        </is>
      </c>
      <c r="H417" s="5" t="inlineStr"/>
      <c r="I417" s="5" t="inlineStr">
        <is>
          <t>419戶</t>
        </is>
      </c>
      <c r="J417" s="5" t="inlineStr">
        <is>
          <t>13-68坪</t>
        </is>
      </c>
      <c r="K417" s="5" t="inlineStr">
        <is>
          <t>28.75萬/坪</t>
        </is>
      </c>
      <c r="L417" s="5" t="inlineStr"/>
      <c r="M417" s="5" t="inlineStr">
        <is>
          <t>已完工</t>
        </is>
      </c>
      <c r="N417" s="5" t="inlineStr">
        <is>
          <t>L3</t>
        </is>
      </c>
      <c r="O417" s="5" t="inlineStr">
        <is>
          <t>https://www.housefeel.com.tw/article/%E4%BA%9E%E6%B4%B2%E6%96%B0%E7%81%A3%E5%8D%80-%E4%BA%9E%E7%81%A3-%E4%BA%9E%E7%81%A3%E5%8D%80-%E9%AB%98%E9%9B%84%E4%BA%9E%E7%81%A3/</t>
        </is>
      </c>
    </row>
    <row r="418">
      <c r="A418" s="5" t="n">
        <v>417</v>
      </c>
      <c r="B418" s="5" t="inlineStr">
        <is>
          <t>高雄市</t>
        </is>
      </c>
      <c r="C418" s="5" t="inlineStr">
        <is>
          <t>A21006</t>
        </is>
      </c>
      <c r="D418" s="5" t="inlineStr">
        <is>
          <t>kaohsiung</t>
        </is>
      </c>
      <c r="E418" s="5" t="inlineStr">
        <is>
          <t>亞洲新灣區</t>
        </is>
      </c>
      <c r="F418" s="5" t="inlineStr">
        <is>
          <t>區段徵收</t>
        </is>
      </c>
      <c r="G418" s="5" t="inlineStr">
        <is>
          <t>純邦國宅</t>
        </is>
      </c>
      <c r="H418" s="5" t="inlineStr"/>
      <c r="I418" s="5" t="inlineStr">
        <is>
          <t>136戶</t>
        </is>
      </c>
      <c r="J418" s="5" t="inlineStr">
        <is>
          <t>43-48坪</t>
        </is>
      </c>
      <c r="K418" s="5" t="inlineStr"/>
      <c r="L418" s="5" t="inlineStr"/>
      <c r="M418" s="5" t="inlineStr">
        <is>
          <t>已完工</t>
        </is>
      </c>
      <c r="N418" s="5" t="inlineStr">
        <is>
          <t>L3</t>
        </is>
      </c>
      <c r="O418" s="5" t="inlineStr">
        <is>
          <t>https://www.housefeel.com.tw/article/%E4%BA%9E%E6%B4%B2%E6%96%B0%E7%81%A3%E5%8D%80-%E4%BA%9E%E7%81%A3-%E4%BA%9E%E7%81%A3%E5%8D%80-%E9%AB%98%E9%9B%84%E4%BA%9E%E7%81%A3/</t>
        </is>
      </c>
    </row>
    <row r="419">
      <c r="A419" s="5" t="n">
        <v>418</v>
      </c>
      <c r="B419" s="5" t="inlineStr">
        <is>
          <t>高雄市</t>
        </is>
      </c>
      <c r="C419" s="5" t="inlineStr">
        <is>
          <t>A21006</t>
        </is>
      </c>
      <c r="D419" s="5" t="inlineStr">
        <is>
          <t>kaohsiung</t>
        </is>
      </c>
      <c r="E419" s="5" t="inlineStr">
        <is>
          <t>亞洲新灣區</t>
        </is>
      </c>
      <c r="F419" s="5" t="inlineStr">
        <is>
          <t>區段徵收</t>
        </is>
      </c>
      <c r="G419" s="5" t="inlineStr">
        <is>
          <t>君毅正勤國宅</t>
        </is>
      </c>
      <c r="H419" s="5" t="inlineStr"/>
      <c r="I419" s="5" t="inlineStr">
        <is>
          <t>1832戶</t>
        </is>
      </c>
      <c r="J419" s="5" t="inlineStr">
        <is>
          <t>28-111坪</t>
        </is>
      </c>
      <c r="K419" s="5" t="inlineStr">
        <is>
          <t>15.73萬/坪</t>
        </is>
      </c>
      <c r="L419" s="5" t="inlineStr"/>
      <c r="M419" s="5" t="inlineStr">
        <is>
          <t>已完工</t>
        </is>
      </c>
      <c r="N419" s="5" t="inlineStr">
        <is>
          <t>L3</t>
        </is>
      </c>
      <c r="O419" s="5" t="inlineStr">
        <is>
          <t>https://www.housefeel.com.tw/article/%E4%BA%9E%E6%B4%B2%E6%96%B0%E7%81%A3%E5%8D%80-%E4%BA%9E%E7%81%A3-%E4%BA%9E%E7%81%A3%E5%8D%80-%E9%AB%98%E9%9B%84%E4%BA%9E%E7%81%A3/</t>
        </is>
      </c>
    </row>
    <row r="420">
      <c r="A420" s="5" t="n">
        <v>419</v>
      </c>
      <c r="B420" s="5" t="inlineStr">
        <is>
          <t>高雄市</t>
        </is>
      </c>
      <c r="C420" s="5" t="inlineStr">
        <is>
          <t>A21006</t>
        </is>
      </c>
      <c r="D420" s="5" t="inlineStr">
        <is>
          <t>kaohsiung</t>
        </is>
      </c>
      <c r="E420" s="5" t="inlineStr">
        <is>
          <t>亞洲新灣區</t>
        </is>
      </c>
      <c r="F420" s="5" t="inlineStr">
        <is>
          <t>區段徵收</t>
        </is>
      </c>
      <c r="G420" s="5" t="inlineStr">
        <is>
          <t>獅甲國宅</t>
        </is>
      </c>
      <c r="H420" s="5" t="inlineStr"/>
      <c r="I420" s="5" t="inlineStr">
        <is>
          <t>1094戶</t>
        </is>
      </c>
      <c r="J420" s="5" t="inlineStr">
        <is>
          <t>13-151坪</t>
        </is>
      </c>
      <c r="K420" s="5" t="inlineStr">
        <is>
          <t>20.89萬/坪</t>
        </is>
      </c>
      <c r="L420" s="5" t="inlineStr"/>
      <c r="M420" s="5" t="inlineStr">
        <is>
          <t>已完工</t>
        </is>
      </c>
      <c r="N420" s="5" t="inlineStr">
        <is>
          <t>L3</t>
        </is>
      </c>
      <c r="O420" s="5" t="inlineStr">
        <is>
          <t>https://www.housefeel.com.tw/article/%E4%BA%9E%E6%B4%B2%E6%96%B0%E7%81%A3%E5%8D%80-%E4%BA%9E%E7%81%A3-%E4%BA%9E%E7%81%A3%E5%8D%80-%E9%AB%98%E9%9B%84%E4%BA%9E%E7%81%A3/</t>
        </is>
      </c>
    </row>
    <row r="421">
      <c r="A421" s="5" t="n">
        <v>420</v>
      </c>
      <c r="B421" s="5" t="inlineStr">
        <is>
          <t>高雄市</t>
        </is>
      </c>
      <c r="C421" s="5" t="inlineStr">
        <is>
          <t>A21006</t>
        </is>
      </c>
      <c r="D421" s="5" t="inlineStr">
        <is>
          <t>kaohsiung</t>
        </is>
      </c>
      <c r="E421" s="5" t="inlineStr">
        <is>
          <t>亞洲新灣區</t>
        </is>
      </c>
      <c r="F421" s="5" t="inlineStr">
        <is>
          <t>區段徵收</t>
        </is>
      </c>
      <c r="G421" s="5" t="inlineStr">
        <is>
          <t>和陸寓邸</t>
        </is>
      </c>
      <c r="H421" s="5" t="inlineStr">
        <is>
          <t>大陸建設</t>
        </is>
      </c>
      <c r="I421" s="5" t="inlineStr">
        <is>
          <t>229戶</t>
        </is>
      </c>
      <c r="J421" s="5" t="inlineStr">
        <is>
          <t>22-51坪</t>
        </is>
      </c>
      <c r="K421" s="5" t="inlineStr">
        <is>
          <t>50.6萬/坪</t>
        </is>
      </c>
      <c r="L421" s="5" t="inlineStr">
        <is>
          <t>2023</t>
        </is>
      </c>
      <c r="M421" s="5" t="inlineStr">
        <is>
          <t>已完工</t>
        </is>
      </c>
      <c r="N421" s="5" t="inlineStr">
        <is>
          <t>L3</t>
        </is>
      </c>
      <c r="O421" s="5" t="inlineStr">
        <is>
          <t>https://www.housefeel.com.tw/article/%E4%BA%9E%E6%B4%B2%E6%96%B0%E7%81%A3%E5%8D%80-%E4%BA%9E%E7%81%A3-%E4%BA%9E%E7%81%A3%E5%8D%80-%E9%AB%98%E9%9B%84%E4%BA%9E%E7%81%A3/</t>
        </is>
      </c>
    </row>
    <row r="422">
      <c r="A422" s="5" t="n">
        <v>421</v>
      </c>
      <c r="B422" s="5" t="inlineStr">
        <is>
          <t>高雄市</t>
        </is>
      </c>
      <c r="C422" s="5" t="inlineStr">
        <is>
          <t>A21006</t>
        </is>
      </c>
      <c r="D422" s="5" t="inlineStr">
        <is>
          <t>kaohsiung</t>
        </is>
      </c>
      <c r="E422" s="5" t="inlineStr">
        <is>
          <t>亞洲新灣區</t>
        </is>
      </c>
      <c r="F422" s="5" t="inlineStr">
        <is>
          <t>區段徵收</t>
        </is>
      </c>
      <c r="G422" s="5" t="inlineStr">
        <is>
          <t>亞灣205</t>
        </is>
      </c>
      <c r="H422" s="5" t="inlineStr"/>
      <c r="I422" s="5" t="inlineStr">
        <is>
          <t>450戶</t>
        </is>
      </c>
      <c r="J422" s="5" t="inlineStr">
        <is>
          <t>25-41坪</t>
        </is>
      </c>
      <c r="K422" s="5" t="inlineStr">
        <is>
          <t>39萬/坪</t>
        </is>
      </c>
      <c r="L422" s="5" t="inlineStr"/>
      <c r="M422" s="5" t="inlineStr">
        <is>
          <t>預售</t>
        </is>
      </c>
      <c r="N422" s="5" t="inlineStr">
        <is>
          <t>L3</t>
        </is>
      </c>
      <c r="O422" s="5" t="inlineStr">
        <is>
          <t>https://community.houseprice.tw/list/%E9%AB%98%E9%9B%84%E5%B8%82_city/%E5%89%8D%E9%8E%AE%E5%8D%80_zip/</t>
        </is>
      </c>
    </row>
    <row r="423">
      <c r="A423" s="5" t="n">
        <v>422</v>
      </c>
      <c r="B423" s="5" t="inlineStr">
        <is>
          <t>高雄市</t>
        </is>
      </c>
      <c r="C423" s="5" t="inlineStr">
        <is>
          <t>A21006</t>
        </is>
      </c>
      <c r="D423" s="5" t="inlineStr">
        <is>
          <t>kaohsiung</t>
        </is>
      </c>
      <c r="E423" s="5" t="inlineStr">
        <is>
          <t>仁武區段徵收</t>
        </is>
      </c>
      <c r="F423" s="5" t="inlineStr">
        <is>
          <t>區段徵收</t>
        </is>
      </c>
      <c r="G423" s="5" t="inlineStr">
        <is>
          <t>知杏樹</t>
        </is>
      </c>
      <c r="H423" s="5" t="inlineStr">
        <is>
          <t>得邑建設</t>
        </is>
      </c>
      <c r="I423" s="5" t="inlineStr"/>
      <c r="J423" s="5" t="inlineStr">
        <is>
          <t>50-80坪(建坪)</t>
        </is>
      </c>
      <c r="K423" s="5" t="inlineStr"/>
      <c r="L423" s="5" t="inlineStr">
        <is>
          <t>2026</t>
        </is>
      </c>
      <c r="M423" s="5" t="inlineStr">
        <is>
          <t>銷售中</t>
        </is>
      </c>
      <c r="N423" s="5" t="inlineStr">
        <is>
          <t>L3</t>
        </is>
      </c>
      <c r="O423" s="5" t="inlineStr">
        <is>
          <t>http://www.de-yi.com.tw/hotcase.htm</t>
        </is>
      </c>
    </row>
    <row r="424">
      <c r="A424" s="5" t="n">
        <v>423</v>
      </c>
      <c r="B424" s="5" t="inlineStr">
        <is>
          <t>高雄市</t>
        </is>
      </c>
      <c r="C424" s="5" t="inlineStr">
        <is>
          <t>A21006</t>
        </is>
      </c>
      <c r="D424" s="5" t="inlineStr">
        <is>
          <t>kaohsiung</t>
        </is>
      </c>
      <c r="E424" s="5" t="inlineStr">
        <is>
          <t>仁武區段徵收</t>
        </is>
      </c>
      <c r="F424" s="5" t="inlineStr">
        <is>
          <t>區段徵收</t>
        </is>
      </c>
      <c r="G424" s="5" t="inlineStr">
        <is>
          <t>高京豐薈</t>
        </is>
      </c>
      <c r="H424" s="5" t="inlineStr">
        <is>
          <t>鈦宇建設</t>
        </is>
      </c>
      <c r="I424" s="5" t="inlineStr"/>
      <c r="J424" s="5" t="inlineStr"/>
      <c r="K424" s="5" t="inlineStr">
        <is>
          <t>33.32萬/坪</t>
        </is>
      </c>
      <c r="L424" s="5" t="inlineStr"/>
      <c r="M424" s="5" t="inlineStr">
        <is>
          <t>預售</t>
        </is>
      </c>
      <c r="N424" s="5" t="inlineStr">
        <is>
          <t>L3</t>
        </is>
      </c>
      <c r="O424" s="5" t="inlineStr">
        <is>
          <t>https://www.leju.com.tw/community/L5351451867c786</t>
        </is>
      </c>
    </row>
    <row r="425">
      <c r="A425" s="5" t="n">
        <v>424</v>
      </c>
      <c r="B425" s="5" t="inlineStr">
        <is>
          <t>高雄市</t>
        </is>
      </c>
      <c r="C425" s="5" t="inlineStr">
        <is>
          <t>A21006</t>
        </is>
      </c>
      <c r="D425" s="5" t="inlineStr">
        <is>
          <t>kaohsiung</t>
        </is>
      </c>
      <c r="E425" s="5" t="inlineStr">
        <is>
          <t>仁武區段徵收</t>
        </is>
      </c>
      <c r="F425" s="5" t="inlineStr">
        <is>
          <t>區段徵收</t>
        </is>
      </c>
      <c r="G425" s="5" t="inlineStr">
        <is>
          <t>健暉Nº21 ERA</t>
        </is>
      </c>
      <c r="H425" s="5" t="inlineStr">
        <is>
          <t>健暉建設</t>
        </is>
      </c>
      <c r="I425" s="5" t="inlineStr"/>
      <c r="J425" s="5" t="inlineStr"/>
      <c r="K425" s="5" t="inlineStr"/>
      <c r="L425" s="5" t="inlineStr"/>
      <c r="M425" s="5" t="inlineStr"/>
      <c r="N425" s="5" t="inlineStr">
        <is>
          <t>L3</t>
        </is>
      </c>
      <c r="O425" s="5" t="inlineStr">
        <is>
          <t>https://jianhui.tw/project-detail.php?id=21</t>
        </is>
      </c>
    </row>
    <row r="426">
      <c r="A426" s="5" t="n">
        <v>425</v>
      </c>
      <c r="B426" s="5" t="inlineStr">
        <is>
          <t>高雄市</t>
        </is>
      </c>
      <c r="C426" s="5" t="inlineStr">
        <is>
          <t>A21006</t>
        </is>
      </c>
      <c r="D426" s="5" t="inlineStr">
        <is>
          <t>kaohsiung</t>
        </is>
      </c>
      <c r="E426" s="5" t="inlineStr">
        <is>
          <t>仁武區段徵收</t>
        </is>
      </c>
      <c r="F426" s="5" t="inlineStr">
        <is>
          <t>區段徵收</t>
        </is>
      </c>
      <c r="G426" s="5" t="inlineStr">
        <is>
          <t>健暉Nº22逸品</t>
        </is>
      </c>
      <c r="H426" s="5" t="inlineStr">
        <is>
          <t>健暉建設</t>
        </is>
      </c>
      <c r="I426" s="5" t="inlineStr">
        <is>
          <t>10戶</t>
        </is>
      </c>
      <c r="J426" s="5" t="inlineStr">
        <is>
          <t>68坪以上</t>
        </is>
      </c>
      <c r="K426" s="5" t="inlineStr"/>
      <c r="L426" s="5" t="inlineStr"/>
      <c r="M426" s="5" t="inlineStr">
        <is>
          <t>預售</t>
        </is>
      </c>
      <c r="N426" s="5" t="inlineStr">
        <is>
          <t>L3</t>
        </is>
      </c>
      <c r="O426" s="5" t="inlineStr">
        <is>
          <t>https://www.jianhui.tw/project-detail.php?id=22</t>
        </is>
      </c>
    </row>
    <row r="427">
      <c r="A427" s="5" t="n">
        <v>426</v>
      </c>
      <c r="B427" s="5" t="inlineStr">
        <is>
          <t>高雄市</t>
        </is>
      </c>
      <c r="C427" s="5" t="inlineStr">
        <is>
          <t>A21006</t>
        </is>
      </c>
      <c r="D427" s="5" t="inlineStr">
        <is>
          <t>kaohsiung</t>
        </is>
      </c>
      <c r="E427" s="5" t="inlineStr">
        <is>
          <t>仁武區段徵收</t>
        </is>
      </c>
      <c r="F427" s="5" t="inlineStr">
        <is>
          <t>區段徵收</t>
        </is>
      </c>
      <c r="G427" s="5" t="inlineStr">
        <is>
          <t>多城市II</t>
        </is>
      </c>
      <c r="H427" s="5" t="inlineStr"/>
      <c r="I427" s="5" t="inlineStr">
        <is>
          <t>235戶</t>
        </is>
      </c>
      <c r="J427" s="5" t="inlineStr">
        <is>
          <t>23-27坪</t>
        </is>
      </c>
      <c r="K427" s="5" t="inlineStr">
        <is>
          <t>32.6萬/坪</t>
        </is>
      </c>
      <c r="L427" s="5" t="inlineStr"/>
      <c r="M427" s="5" t="inlineStr">
        <is>
          <t>已完工</t>
        </is>
      </c>
      <c r="N427" s="5" t="inlineStr">
        <is>
          <t>L3</t>
        </is>
      </c>
      <c r="O427" s="5" t="inlineStr">
        <is>
          <t>https://community.houseprice.tw/building/211582</t>
        </is>
      </c>
    </row>
    <row r="428">
      <c r="A428" s="5" t="n">
        <v>427</v>
      </c>
      <c r="B428" s="5" t="inlineStr">
        <is>
          <t>高雄市</t>
        </is>
      </c>
      <c r="C428" s="5" t="inlineStr">
        <is>
          <t>A21006</t>
        </is>
      </c>
      <c r="D428" s="5" t="inlineStr">
        <is>
          <t>kaohsiung</t>
        </is>
      </c>
      <c r="E428" s="5" t="inlineStr">
        <is>
          <t>仁武區段徵收</t>
        </is>
      </c>
      <c r="F428" s="5" t="inlineStr">
        <is>
          <t>區段徵收</t>
        </is>
      </c>
      <c r="G428" s="5" t="inlineStr">
        <is>
          <t>華友聯秋紅谷</t>
        </is>
      </c>
      <c r="H428" s="5" t="inlineStr">
        <is>
          <t>華友聯開發</t>
        </is>
      </c>
      <c r="I428" s="5" t="inlineStr">
        <is>
          <t>175戶</t>
        </is>
      </c>
      <c r="J428" s="5" t="inlineStr">
        <is>
          <t>25-37坪</t>
        </is>
      </c>
      <c r="K428" s="5" t="inlineStr"/>
      <c r="L428" s="5" t="inlineStr"/>
      <c r="M428" s="5" t="inlineStr">
        <is>
          <t>已完銷</t>
        </is>
      </c>
      <c r="N428" s="5" t="inlineStr">
        <is>
          <t>L3</t>
        </is>
      </c>
      <c r="O428" s="5" t="inlineStr">
        <is>
          <t>https://knowhouse.tw/3240</t>
        </is>
      </c>
    </row>
    <row r="429">
      <c r="A429" s="5" t="n">
        <v>428</v>
      </c>
      <c r="B429" s="5" t="inlineStr">
        <is>
          <t>高雄市</t>
        </is>
      </c>
      <c r="C429" s="5" t="inlineStr">
        <is>
          <t>A21006</t>
        </is>
      </c>
      <c r="D429" s="5" t="inlineStr">
        <is>
          <t>kaohsiung</t>
        </is>
      </c>
      <c r="E429" s="5" t="inlineStr">
        <is>
          <t>仁武區段徵收</t>
        </is>
      </c>
      <c r="F429" s="5" t="inlineStr">
        <is>
          <t>區段徵收</t>
        </is>
      </c>
      <c r="G429" s="5" t="inlineStr">
        <is>
          <t>悅讀AI</t>
        </is>
      </c>
      <c r="H429" s="5" t="inlineStr">
        <is>
          <t>泰郡建設</t>
        </is>
      </c>
      <c r="I429" s="5" t="inlineStr"/>
      <c r="J429" s="5" t="inlineStr"/>
      <c r="K429" s="5" t="inlineStr"/>
      <c r="L429" s="5" t="inlineStr">
        <is>
          <t>2021</t>
        </is>
      </c>
      <c r="M429" s="5" t="inlineStr">
        <is>
          <t>已完工</t>
        </is>
      </c>
      <c r="N429" s="5" t="inlineStr">
        <is>
          <t>L3</t>
        </is>
      </c>
      <c r="O429" s="5" t="inlineStr">
        <is>
          <t>https://taijun.com.tw/</t>
        </is>
      </c>
    </row>
    <row r="430">
      <c r="A430" s="5" t="n">
        <v>429</v>
      </c>
      <c r="B430" s="5" t="inlineStr">
        <is>
          <t>高雄市</t>
        </is>
      </c>
      <c r="C430" s="5" t="inlineStr">
        <is>
          <t>A21006</t>
        </is>
      </c>
      <c r="D430" s="5" t="inlineStr">
        <is>
          <t>kaohsiung</t>
        </is>
      </c>
      <c r="E430" s="5" t="inlineStr">
        <is>
          <t>仁武區段徵收</t>
        </is>
      </c>
      <c r="F430" s="5" t="inlineStr">
        <is>
          <t>區段徵收</t>
        </is>
      </c>
      <c r="G430" s="5" t="inlineStr">
        <is>
          <t>I悅讀</t>
        </is>
      </c>
      <c r="H430" s="5" t="inlineStr">
        <is>
          <t>泰郡建設</t>
        </is>
      </c>
      <c r="I430" s="5" t="inlineStr"/>
      <c r="J430" s="5" t="inlineStr"/>
      <c r="K430" s="5" t="inlineStr"/>
      <c r="L430" s="5" t="inlineStr">
        <is>
          <t>2015</t>
        </is>
      </c>
      <c r="M430" s="5" t="inlineStr">
        <is>
          <t>已完工</t>
        </is>
      </c>
      <c r="N430" s="5" t="inlineStr">
        <is>
          <t>L3</t>
        </is>
      </c>
      <c r="O430" s="5" t="inlineStr">
        <is>
          <t>https://taijun.com.tw/</t>
        </is>
      </c>
    </row>
    <row r="431">
      <c r="A431" s="5" t="n">
        <v>430</v>
      </c>
      <c r="B431" s="5" t="inlineStr">
        <is>
          <t>高雄市</t>
        </is>
      </c>
      <c r="C431" s="5" t="inlineStr">
        <is>
          <t>A21006</t>
        </is>
      </c>
      <c r="D431" s="5" t="inlineStr">
        <is>
          <t>kaohsiung</t>
        </is>
      </c>
      <c r="E431" s="5" t="inlineStr">
        <is>
          <t>仁武區段徵收</t>
        </is>
      </c>
      <c r="F431" s="5" t="inlineStr">
        <is>
          <t>區段徵收</t>
        </is>
      </c>
      <c r="G431" s="5" t="inlineStr">
        <is>
          <t>潤鴻日研</t>
        </is>
      </c>
      <c r="H431" s="5" t="inlineStr">
        <is>
          <t>潤鴻建設</t>
        </is>
      </c>
      <c r="I431" s="5" t="inlineStr"/>
      <c r="J431" s="5" t="inlineStr">
        <is>
          <t>20-38坪</t>
        </is>
      </c>
      <c r="K431" s="5" t="inlineStr"/>
      <c r="L431" s="5" t="inlineStr"/>
      <c r="M431" s="5" t="inlineStr">
        <is>
          <t>預售</t>
        </is>
      </c>
      <c r="N431" s="5" t="inlineStr">
        <is>
          <t>L3</t>
        </is>
      </c>
      <c r="O431" s="5" t="inlineStr">
        <is>
          <t>https://kaohsiung.housetube.tw/c249</t>
        </is>
      </c>
    </row>
    <row r="432">
      <c r="A432" s="5" t="n">
        <v>431</v>
      </c>
      <c r="B432" s="5" t="inlineStr">
        <is>
          <t>高雄市</t>
        </is>
      </c>
      <c r="C432" s="5" t="inlineStr">
        <is>
          <t>A21006</t>
        </is>
      </c>
      <c r="D432" s="5" t="inlineStr">
        <is>
          <t>kaohsiung</t>
        </is>
      </c>
      <c r="E432" s="5" t="inlineStr">
        <is>
          <t>仁武區段徵收</t>
        </is>
      </c>
      <c r="F432" s="5" t="inlineStr">
        <is>
          <t>區段徵收</t>
        </is>
      </c>
      <c r="G432" s="5" t="inlineStr">
        <is>
          <t>遠見翡麗</t>
        </is>
      </c>
      <c r="H432" s="5" t="inlineStr">
        <is>
          <t>全誠建設</t>
        </is>
      </c>
      <c r="I432" s="5" t="inlineStr">
        <is>
          <t>85戶</t>
        </is>
      </c>
      <c r="J432" s="5" t="inlineStr">
        <is>
          <t>49-65坪</t>
        </is>
      </c>
      <c r="K432" s="5" t="inlineStr">
        <is>
          <t>26.3萬/坪</t>
        </is>
      </c>
      <c r="L432" s="5" t="inlineStr"/>
      <c r="M432" s="5" t="inlineStr">
        <is>
          <t>已完工</t>
        </is>
      </c>
      <c r="N432" s="5" t="inlineStr">
        <is>
          <t>L3</t>
        </is>
      </c>
      <c r="O432" s="5" t="inlineStr">
        <is>
          <t>https://community.houseprice.tw/list/%E9%AB%98%E9%9B%84%E5%B8%82_city/%E4%BB%81%E6%AD%A6%E5%8D%80_zip/%E9%81%A0%E8%A6%8B%E7%BF%A1%E9%BA%97_kw/</t>
        </is>
      </c>
    </row>
    <row r="433">
      <c r="A433" s="5" t="n">
        <v>432</v>
      </c>
      <c r="B433" s="5" t="inlineStr">
        <is>
          <t>高雄市</t>
        </is>
      </c>
      <c r="C433" s="5" t="inlineStr">
        <is>
          <t>A21006</t>
        </is>
      </c>
      <c r="D433" s="5" t="inlineStr">
        <is>
          <t>kaohsiung</t>
        </is>
      </c>
      <c r="E433" s="5" t="inlineStr">
        <is>
          <t>橋頭科學園區段徵收</t>
        </is>
      </c>
      <c r="F433" s="5" t="inlineStr">
        <is>
          <t>區段徵收</t>
        </is>
      </c>
      <c r="G433" s="5" t="inlineStr">
        <is>
          <t>橋科水岸花園</t>
        </is>
      </c>
      <c r="H433" s="5" t="inlineStr">
        <is>
          <t>維崗建設</t>
        </is>
      </c>
      <c r="I433" s="5" t="inlineStr">
        <is>
          <t>523戶</t>
        </is>
      </c>
      <c r="J433" s="5" t="inlineStr">
        <is>
          <t>26-53坪</t>
        </is>
      </c>
      <c r="K433" s="5" t="inlineStr">
        <is>
          <t>33.8-41萬/坪</t>
        </is>
      </c>
      <c r="L433" s="5" t="inlineStr">
        <is>
          <t>2020</t>
        </is>
      </c>
      <c r="M433" s="5" t="inlineStr">
        <is>
          <t>已完工</t>
        </is>
      </c>
      <c r="N433" s="5" t="inlineStr">
        <is>
          <t>L3</t>
        </is>
      </c>
      <c r="O433" s="5" t="inlineStr">
        <is>
          <t>https://kaohsiung.housetube.tw/39655</t>
        </is>
      </c>
    </row>
    <row r="434">
      <c r="A434" s="5" t="n">
        <v>433</v>
      </c>
      <c r="B434" s="5" t="inlineStr">
        <is>
          <t>高雄市</t>
        </is>
      </c>
      <c r="C434" s="5" t="inlineStr">
        <is>
          <t>A21006</t>
        </is>
      </c>
      <c r="D434" s="5" t="inlineStr">
        <is>
          <t>kaohsiung</t>
        </is>
      </c>
      <c r="E434" s="5" t="inlineStr">
        <is>
          <t>橋頭科學園區段徵收</t>
        </is>
      </c>
      <c r="F434" s="5" t="inlineStr">
        <is>
          <t>區段徵收</t>
        </is>
      </c>
      <c r="G434" s="5" t="inlineStr">
        <is>
          <t>橋科綻</t>
        </is>
      </c>
      <c r="H434" s="5" t="inlineStr"/>
      <c r="I434" s="5" t="inlineStr">
        <is>
          <t>106戶</t>
        </is>
      </c>
      <c r="J434" s="5" t="inlineStr"/>
      <c r="K434" s="5" t="inlineStr">
        <is>
          <t>29萬/坪</t>
        </is>
      </c>
      <c r="L434" s="5" t="inlineStr"/>
      <c r="M434" s="5" t="inlineStr">
        <is>
          <t>已完工</t>
        </is>
      </c>
      <c r="N434" s="5" t="inlineStr">
        <is>
          <t>L3</t>
        </is>
      </c>
      <c r="O434" s="5" t="inlineStr">
        <is>
          <t>https://market.591.com.tw/5873075</t>
        </is>
      </c>
    </row>
    <row r="435">
      <c r="A435" s="5" t="n">
        <v>434</v>
      </c>
      <c r="B435" s="5" t="inlineStr">
        <is>
          <t>高雄市</t>
        </is>
      </c>
      <c r="C435" s="5" t="inlineStr">
        <is>
          <t>A21006</t>
        </is>
      </c>
      <c r="D435" s="5" t="inlineStr">
        <is>
          <t>kaohsiung</t>
        </is>
      </c>
      <c r="E435" s="5" t="inlineStr">
        <is>
          <t>橋頭科學園區段徵收</t>
        </is>
      </c>
      <c r="F435" s="5" t="inlineStr">
        <is>
          <t>區段徵收</t>
        </is>
      </c>
      <c r="G435" s="5" t="inlineStr">
        <is>
          <t>鳳凰Villa</t>
        </is>
      </c>
      <c r="H435" s="5" t="inlineStr">
        <is>
          <t>隆大營建</t>
        </is>
      </c>
      <c r="I435" s="5" t="inlineStr"/>
      <c r="J435" s="5" t="inlineStr">
        <is>
          <t>23-38坪</t>
        </is>
      </c>
      <c r="K435" s="5" t="inlineStr"/>
      <c r="L435" s="5" t="inlineStr"/>
      <c r="M435" s="5" t="inlineStr">
        <is>
          <t>新成屋</t>
        </is>
      </c>
      <c r="N435" s="5" t="inlineStr">
        <is>
          <t>L3</t>
        </is>
      </c>
      <c r="O435" s="5" t="inlineStr">
        <is>
          <t>https://kaohsiung.housetube.tw/45582</t>
        </is>
      </c>
    </row>
    <row r="436">
      <c r="A436" s="5" t="n">
        <v>435</v>
      </c>
      <c r="B436" s="5" t="inlineStr">
        <is>
          <t>高雄市</t>
        </is>
      </c>
      <c r="C436" s="5" t="inlineStr">
        <is>
          <t>A21006</t>
        </is>
      </c>
      <c r="D436" s="5" t="inlineStr">
        <is>
          <t>kaohsiung</t>
        </is>
      </c>
      <c r="E436" s="5" t="inlineStr">
        <is>
          <t>橋頭科學園區段徵收</t>
        </is>
      </c>
      <c r="F436" s="5" t="inlineStr">
        <is>
          <t>區段徵收</t>
        </is>
      </c>
      <c r="G436" s="5" t="inlineStr">
        <is>
          <t>鑫市鎮</t>
        </is>
      </c>
      <c r="H436" s="5" t="inlineStr"/>
      <c r="I436" s="5" t="inlineStr"/>
      <c r="J436" s="5" t="inlineStr"/>
      <c r="K436" s="5" t="inlineStr">
        <is>
          <t>25.3萬/坪</t>
        </is>
      </c>
      <c r="L436" s="5" t="inlineStr"/>
      <c r="M436" s="5" t="inlineStr">
        <is>
          <t>已完工</t>
        </is>
      </c>
      <c r="N436" s="5" t="inlineStr">
        <is>
          <t>L3</t>
        </is>
      </c>
      <c r="O436" s="5" t="inlineStr">
        <is>
          <t>https://www.sinyi.com.tw/communitylist/communityinfo/0030049</t>
        </is>
      </c>
    </row>
    <row r="437">
      <c r="A437" s="5" t="n">
        <v>436</v>
      </c>
      <c r="B437" s="5" t="inlineStr">
        <is>
          <t>高雄市</t>
        </is>
      </c>
      <c r="C437" s="5" t="inlineStr">
        <is>
          <t>A21006</t>
        </is>
      </c>
      <c r="D437" s="5" t="inlineStr">
        <is>
          <t>kaohsiung</t>
        </is>
      </c>
      <c r="E437" s="5" t="inlineStr">
        <is>
          <t>橋頭科學園區段徵收</t>
        </is>
      </c>
      <c r="F437" s="5" t="inlineStr">
        <is>
          <t>區段徵收</t>
        </is>
      </c>
      <c r="G437" s="5" t="inlineStr">
        <is>
          <t>達麗未來市</t>
        </is>
      </c>
      <c r="H437" s="5" t="inlineStr">
        <is>
          <t>達麗建設/海悅國際開發</t>
        </is>
      </c>
      <c r="I437" s="5" t="inlineStr"/>
      <c r="J437" s="5" t="inlineStr"/>
      <c r="K437" s="5" t="inlineStr">
        <is>
          <t>35.5萬/坪</t>
        </is>
      </c>
      <c r="L437" s="5" t="inlineStr"/>
      <c r="M437" s="5" t="inlineStr">
        <is>
          <t>銷售中</t>
        </is>
      </c>
      <c r="N437" s="5" t="inlineStr">
        <is>
          <t>L3</t>
        </is>
      </c>
      <c r="O437" s="5" t="inlineStr">
        <is>
          <t>https://community.houseprice.tw/building/173600/</t>
        </is>
      </c>
    </row>
    <row r="438">
      <c r="A438" s="5" t="n">
        <v>437</v>
      </c>
      <c r="B438" s="5" t="inlineStr">
        <is>
          <t>高雄市</t>
        </is>
      </c>
      <c r="C438" s="5" t="inlineStr">
        <is>
          <t>A21006</t>
        </is>
      </c>
      <c r="D438" s="5" t="inlineStr">
        <is>
          <t>kaohsiung</t>
        </is>
      </c>
      <c r="E438" s="5" t="inlineStr">
        <is>
          <t>橋頭科學園區段徵收</t>
        </is>
      </c>
      <c r="F438" s="5" t="inlineStr">
        <is>
          <t>區段徵收</t>
        </is>
      </c>
      <c r="G438" s="5" t="inlineStr">
        <is>
          <t>鼎宇森林之星</t>
        </is>
      </c>
      <c r="H438" s="5" t="inlineStr">
        <is>
          <t>鼎宇建設</t>
        </is>
      </c>
      <c r="I438" s="5" t="inlineStr"/>
      <c r="J438" s="5" t="inlineStr"/>
      <c r="K438" s="5" t="inlineStr"/>
      <c r="L438" s="5" t="inlineStr"/>
      <c r="M438" s="5" t="inlineStr">
        <is>
          <t>已完工</t>
        </is>
      </c>
      <c r="N438" s="5" t="inlineStr">
        <is>
          <t>L3</t>
        </is>
      </c>
      <c r="O438" s="5" t="inlineStr">
        <is>
          <t>https://www.arei.tw/rent_info.asp?id=34961</t>
        </is>
      </c>
    </row>
    <row r="439">
      <c r="A439" s="5" t="n">
        <v>438</v>
      </c>
      <c r="B439" s="5" t="inlineStr">
        <is>
          <t>高雄市</t>
        </is>
      </c>
      <c r="C439" s="5" t="inlineStr">
        <is>
          <t>A21006</t>
        </is>
      </c>
      <c r="D439" s="5" t="inlineStr">
        <is>
          <t>kaohsiung</t>
        </is>
      </c>
      <c r="E439" s="5" t="inlineStr">
        <is>
          <t>橋頭科學園區段徵收</t>
        </is>
      </c>
      <c r="F439" s="5" t="inlineStr">
        <is>
          <t>區段徵收</t>
        </is>
      </c>
      <c r="G439" s="5" t="inlineStr">
        <is>
          <t>悅讀時代</t>
        </is>
      </c>
      <c r="H439" s="5" t="inlineStr">
        <is>
          <t>泰郡建設</t>
        </is>
      </c>
      <c r="I439" s="5" t="inlineStr"/>
      <c r="J439" s="5" t="inlineStr"/>
      <c r="K439" s="5" t="inlineStr"/>
      <c r="L439" s="5" t="inlineStr"/>
      <c r="M439" s="5" t="inlineStr">
        <is>
          <t>已完工</t>
        </is>
      </c>
      <c r="N439" s="5" t="inlineStr">
        <is>
          <t>L3</t>
        </is>
      </c>
      <c r="O439" s="5" t="inlineStr">
        <is>
          <t>https://www.arei.tw/rent_info.asp?id=37251</t>
        </is>
      </c>
    </row>
    <row r="440">
      <c r="A440" s="5" t="n">
        <v>439</v>
      </c>
      <c r="B440" s="5" t="inlineStr">
        <is>
          <t>基隆市</t>
        </is>
      </c>
      <c r="C440" s="5" t="inlineStr">
        <is>
          <t>A21021</t>
        </is>
      </c>
      <c r="D440" s="5" t="inlineStr">
        <is>
          <t>keelung</t>
        </is>
      </c>
      <c r="E440" s="5" t="inlineStr">
        <is>
          <t>基隆港周邊都更</t>
        </is>
      </c>
      <c r="F440" s="5" t="inlineStr">
        <is>
          <t>都市更新</t>
        </is>
      </c>
      <c r="G440" s="5" t="inlineStr">
        <is>
          <t>基隆火車站都市更新計畫</t>
        </is>
      </c>
      <c r="H440" s="5" t="inlineStr"/>
      <c r="I440" s="5" t="inlineStr"/>
      <c r="J440" s="5" t="inlineStr"/>
      <c r="K440" s="5" t="inlineStr"/>
      <c r="L440" s="5" t="inlineStr"/>
      <c r="M440" s="5" t="inlineStr">
        <is>
          <t>興建中</t>
        </is>
      </c>
      <c r="N440" s="5" t="inlineStr">
        <is>
          <t>L1</t>
        </is>
      </c>
      <c r="O440" s="5" t="inlineStr">
        <is>
          <t>https://www.ur.org.tw/upload/publish/SMS%20(67).pdf</t>
        </is>
      </c>
    </row>
    <row r="441">
      <c r="A441" s="5" t="n">
        <v>440</v>
      </c>
      <c r="B441" s="5" t="inlineStr">
        <is>
          <t>基隆市</t>
        </is>
      </c>
      <c r="C441" s="5" t="inlineStr">
        <is>
          <t>A21021</t>
        </is>
      </c>
      <c r="D441" s="5" t="inlineStr">
        <is>
          <t>keelung</t>
        </is>
      </c>
      <c r="E441" s="5" t="inlineStr">
        <is>
          <t>基隆港周邊都更</t>
        </is>
      </c>
      <c r="F441" s="5" t="inlineStr">
        <is>
          <t>都市更新</t>
        </is>
      </c>
      <c r="G441" s="5" t="inlineStr">
        <is>
          <t>白天鵝安幔</t>
        </is>
      </c>
      <c r="H441" s="5" t="inlineStr">
        <is>
          <t>百富地產開發</t>
        </is>
      </c>
      <c r="I441" s="5" t="inlineStr"/>
      <c r="J441" s="5" t="inlineStr"/>
      <c r="K441" s="5" t="inlineStr"/>
      <c r="L441" s="5" t="inlineStr"/>
      <c r="M441" s="5" t="inlineStr">
        <is>
          <t>預售</t>
        </is>
      </c>
      <c r="N441" s="5" t="inlineStr">
        <is>
          <t>L3</t>
        </is>
      </c>
      <c r="O441" s="5" t="inlineStr">
        <is>
          <t>https://www.jsl.com.tw/cases/ksa260206</t>
        </is>
      </c>
    </row>
    <row r="442">
      <c r="A442" s="5" t="n">
        <v>441</v>
      </c>
      <c r="B442" s="5" t="inlineStr">
        <is>
          <t>基隆市</t>
        </is>
      </c>
      <c r="C442" s="5" t="inlineStr">
        <is>
          <t>A21021</t>
        </is>
      </c>
      <c r="D442" s="5" t="inlineStr">
        <is>
          <t>keelung</t>
        </is>
      </c>
      <c r="E442" s="5" t="inlineStr">
        <is>
          <t>基隆港周邊都更</t>
        </is>
      </c>
      <c r="F442" s="5" t="inlineStr">
        <is>
          <t>都市更新</t>
        </is>
      </c>
      <c r="G442" s="5" t="inlineStr">
        <is>
          <t>甲山林城上城2美麗上城</t>
        </is>
      </c>
      <c r="H442" s="5" t="inlineStr">
        <is>
          <t>甲山林建設</t>
        </is>
      </c>
      <c r="I442" s="5" t="inlineStr"/>
      <c r="J442" s="5" t="inlineStr"/>
      <c r="K442" s="5" t="inlineStr"/>
      <c r="L442" s="5" t="inlineStr"/>
      <c r="M442" s="5" t="inlineStr">
        <is>
          <t>銷售中</t>
        </is>
      </c>
      <c r="N442" s="5" t="inlineStr">
        <is>
          <t>L3</t>
        </is>
      </c>
      <c r="O442" s="5" t="inlineStr">
        <is>
          <t>https://www.myhousing.com.tw/alife/keelung/</t>
        </is>
      </c>
    </row>
    <row r="443">
      <c r="A443" s="5" t="n">
        <v>442</v>
      </c>
      <c r="B443" s="5" t="inlineStr">
        <is>
          <t>基隆市</t>
        </is>
      </c>
      <c r="C443" s="5" t="inlineStr">
        <is>
          <t>A21021</t>
        </is>
      </c>
      <c r="D443" s="5" t="inlineStr">
        <is>
          <t>keelung</t>
        </is>
      </c>
      <c r="E443" s="5" t="inlineStr">
        <is>
          <t>基隆港周邊都更</t>
        </is>
      </c>
      <c r="F443" s="5" t="inlineStr">
        <is>
          <t>都市更新</t>
        </is>
      </c>
      <c r="G443" s="5" t="inlineStr">
        <is>
          <t>微笑台北</t>
        </is>
      </c>
      <c r="H443" s="5" t="inlineStr">
        <is>
          <t>麗寶建設</t>
        </is>
      </c>
      <c r="I443" s="5" t="inlineStr">
        <is>
          <t>1199戶</t>
        </is>
      </c>
      <c r="J443" s="5" t="inlineStr">
        <is>
          <t>31-64坪</t>
        </is>
      </c>
      <c r="K443" s="5" t="inlineStr">
        <is>
          <t>31.3萬/坪</t>
        </is>
      </c>
      <c r="L443" s="5" t="inlineStr"/>
      <c r="M443" s="5" t="inlineStr">
        <is>
          <t>已完工</t>
        </is>
      </c>
      <c r="N443" s="5" t="inlineStr">
        <is>
          <t>L3</t>
        </is>
      </c>
      <c r="O443" s="5" t="inlineStr">
        <is>
          <t>https://community.houseprice.tw/list/%E5%9F%BA%E9%9A%86%E5%B8%82_city/</t>
        </is>
      </c>
    </row>
    <row r="444">
      <c r="A444" s="5" t="n">
        <v>443</v>
      </c>
      <c r="B444" s="5" t="inlineStr">
        <is>
          <t>新竹市</t>
        </is>
      </c>
      <c r="C444" s="5" t="inlineStr">
        <is>
          <t>A21007</t>
        </is>
      </c>
      <c r="D444" s="5" t="inlineStr">
        <is>
          <t>hsinchu-city</t>
        </is>
      </c>
      <c r="E444" s="5" t="inlineStr">
        <is>
          <t>市區多處自辦重劃</t>
        </is>
      </c>
      <c r="F444" s="5" t="inlineStr">
        <is>
          <t>自辦市地重劃</t>
        </is>
      </c>
      <c r="G444" s="5" t="inlineStr">
        <is>
          <t>富宇六藝</t>
        </is>
      </c>
      <c r="H444" s="5" t="inlineStr">
        <is>
          <t>富宇建設</t>
        </is>
      </c>
      <c r="I444" s="5" t="inlineStr">
        <is>
          <t>147戶</t>
        </is>
      </c>
      <c r="J444" s="5" t="inlineStr">
        <is>
          <t>18-124坪</t>
        </is>
      </c>
      <c r="K444" s="5" t="inlineStr">
        <is>
          <t>58.96萬/坪</t>
        </is>
      </c>
      <c r="L444" s="5" t="inlineStr"/>
      <c r="M444" s="5" t="inlineStr">
        <is>
          <t>已完工</t>
        </is>
      </c>
      <c r="N444" s="5" t="inlineStr">
        <is>
          <t>L3</t>
        </is>
      </c>
      <c r="O444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5">
      <c r="A445" s="5" t="n">
        <v>444</v>
      </c>
      <c r="B445" s="5" t="inlineStr">
        <is>
          <t>新竹市</t>
        </is>
      </c>
      <c r="C445" s="5" t="inlineStr">
        <is>
          <t>A21007</t>
        </is>
      </c>
      <c r="D445" s="5" t="inlineStr">
        <is>
          <t>hsinchu-city</t>
        </is>
      </c>
      <c r="E445" s="5" t="inlineStr">
        <is>
          <t>市區多處自辦重劃</t>
        </is>
      </c>
      <c r="F445" s="5" t="inlineStr">
        <is>
          <t>自辦市地重劃</t>
        </is>
      </c>
      <c r="G445" s="5" t="inlineStr">
        <is>
          <t>富宇九如</t>
        </is>
      </c>
      <c r="H445" s="5" t="inlineStr">
        <is>
          <t>富宇建設</t>
        </is>
      </c>
      <c r="I445" s="5" t="inlineStr">
        <is>
          <t>92戶</t>
        </is>
      </c>
      <c r="J445" s="5" t="inlineStr">
        <is>
          <t>48-87坪</t>
        </is>
      </c>
      <c r="K445" s="5" t="inlineStr">
        <is>
          <t>63.68萬/坪</t>
        </is>
      </c>
      <c r="L445" s="5" t="inlineStr"/>
      <c r="M445" s="5" t="inlineStr">
        <is>
          <t>已完工</t>
        </is>
      </c>
      <c r="N445" s="5" t="inlineStr">
        <is>
          <t>L3</t>
        </is>
      </c>
      <c r="O445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6">
      <c r="A446" s="5" t="n">
        <v>445</v>
      </c>
      <c r="B446" s="5" t="inlineStr">
        <is>
          <t>新竹市</t>
        </is>
      </c>
      <c r="C446" s="5" t="inlineStr">
        <is>
          <t>A21007</t>
        </is>
      </c>
      <c r="D446" s="5" t="inlineStr">
        <is>
          <t>hsinchu-city</t>
        </is>
      </c>
      <c r="E446" s="5" t="inlineStr">
        <is>
          <t>市區多處自辦重劃</t>
        </is>
      </c>
      <c r="F446" s="5" t="inlineStr">
        <is>
          <t>自辦市地重劃</t>
        </is>
      </c>
      <c r="G446" s="5" t="inlineStr">
        <is>
          <t>惠宇天晴</t>
        </is>
      </c>
      <c r="H446" s="5" t="inlineStr">
        <is>
          <t>惠宇建設</t>
        </is>
      </c>
      <c r="I446" s="5" t="inlineStr">
        <is>
          <t>128戶</t>
        </is>
      </c>
      <c r="J446" s="5" t="inlineStr">
        <is>
          <t>46-59坪</t>
        </is>
      </c>
      <c r="K446" s="5" t="inlineStr">
        <is>
          <t>68.25萬/坪</t>
        </is>
      </c>
      <c r="L446" s="5" t="inlineStr"/>
      <c r="M446" s="5" t="inlineStr">
        <is>
          <t>已完工</t>
        </is>
      </c>
      <c r="N446" s="5" t="inlineStr">
        <is>
          <t>L3</t>
        </is>
      </c>
      <c r="O446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7">
      <c r="A447" s="5" t="n">
        <v>446</v>
      </c>
      <c r="B447" s="5" t="inlineStr">
        <is>
          <t>新竹市</t>
        </is>
      </c>
      <c r="C447" s="5" t="inlineStr">
        <is>
          <t>A21007</t>
        </is>
      </c>
      <c r="D447" s="5" t="inlineStr">
        <is>
          <t>hsinchu-city</t>
        </is>
      </c>
      <c r="E447" s="5" t="inlineStr">
        <is>
          <t>市區多處自辦重劃</t>
        </is>
      </c>
      <c r="F447" s="5" t="inlineStr">
        <is>
          <t>自辦市地重劃</t>
        </is>
      </c>
      <c r="G447" s="5" t="inlineStr">
        <is>
          <t>東方明珠</t>
        </is>
      </c>
      <c r="H447" s="5" t="inlineStr"/>
      <c r="I447" s="5" t="inlineStr">
        <is>
          <t>341戶</t>
        </is>
      </c>
      <c r="J447" s="5" t="inlineStr">
        <is>
          <t>30-84坪</t>
        </is>
      </c>
      <c r="K447" s="5" t="inlineStr">
        <is>
          <t>68.25萬/坪</t>
        </is>
      </c>
      <c r="L447" s="5" t="inlineStr"/>
      <c r="M447" s="5" t="inlineStr">
        <is>
          <t>已完工</t>
        </is>
      </c>
      <c r="N447" s="5" t="inlineStr">
        <is>
          <t>L3</t>
        </is>
      </c>
      <c r="O447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8">
      <c r="A448" s="5" t="n">
        <v>447</v>
      </c>
      <c r="B448" s="5" t="inlineStr">
        <is>
          <t>新竹市</t>
        </is>
      </c>
      <c r="C448" s="5" t="inlineStr">
        <is>
          <t>A21007</t>
        </is>
      </c>
      <c r="D448" s="5" t="inlineStr">
        <is>
          <t>hsinchu-city</t>
        </is>
      </c>
      <c r="E448" s="5" t="inlineStr">
        <is>
          <t>市區多處自辦重劃</t>
        </is>
      </c>
      <c r="F448" s="5" t="inlineStr">
        <is>
          <t>自辦市地重劃</t>
        </is>
      </c>
      <c r="G448" s="5" t="inlineStr">
        <is>
          <t>東方文華</t>
        </is>
      </c>
      <c r="H448" s="5" t="inlineStr"/>
      <c r="I448" s="5" t="inlineStr">
        <is>
          <t>378戶</t>
        </is>
      </c>
      <c r="J448" s="5" t="inlineStr">
        <is>
          <t>47-144坪</t>
        </is>
      </c>
      <c r="K448" s="5" t="inlineStr">
        <is>
          <t>61.74萬/坪</t>
        </is>
      </c>
      <c r="L448" s="5" t="inlineStr"/>
      <c r="M448" s="5" t="inlineStr">
        <is>
          <t>已完工</t>
        </is>
      </c>
      <c r="N448" s="5" t="inlineStr">
        <is>
          <t>L3</t>
        </is>
      </c>
      <c r="O448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9">
      <c r="A449" s="5" t="n">
        <v>448</v>
      </c>
      <c r="B449" s="5" t="inlineStr">
        <is>
          <t>新竹市</t>
        </is>
      </c>
      <c r="C449" s="5" t="inlineStr">
        <is>
          <t>A21007</t>
        </is>
      </c>
      <c r="D449" s="5" t="inlineStr">
        <is>
          <t>hsinchu-city</t>
        </is>
      </c>
      <c r="E449" s="5" t="inlineStr">
        <is>
          <t>市區多處自辦重劃</t>
        </is>
      </c>
      <c r="F449" s="5" t="inlineStr">
        <is>
          <t>自辦市地重劃</t>
        </is>
      </c>
      <c r="G449" s="5" t="inlineStr">
        <is>
          <t>富宇雲悅</t>
        </is>
      </c>
      <c r="H449" s="5" t="inlineStr">
        <is>
          <t>富宇建設</t>
        </is>
      </c>
      <c r="I449" s="5" t="inlineStr">
        <is>
          <t>123戶</t>
        </is>
      </c>
      <c r="J449" s="5" t="inlineStr">
        <is>
          <t>28-41坪</t>
        </is>
      </c>
      <c r="K449" s="5" t="inlineStr">
        <is>
          <t>75.07萬/坪</t>
        </is>
      </c>
      <c r="L449" s="5" t="inlineStr"/>
      <c r="M449" s="5" t="inlineStr">
        <is>
          <t>已完工</t>
        </is>
      </c>
      <c r="N449" s="5" t="inlineStr">
        <is>
          <t>L3</t>
        </is>
      </c>
      <c r="O449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0">
      <c r="A450" s="5" t="n">
        <v>449</v>
      </c>
      <c r="B450" s="5" t="inlineStr">
        <is>
          <t>新竹市</t>
        </is>
      </c>
      <c r="C450" s="5" t="inlineStr">
        <is>
          <t>A21007</t>
        </is>
      </c>
      <c r="D450" s="5" t="inlineStr">
        <is>
          <t>hsinchu-city</t>
        </is>
      </c>
      <c r="E450" s="5" t="inlineStr">
        <is>
          <t>市區多處自辦重劃</t>
        </is>
      </c>
      <c r="F450" s="5" t="inlineStr">
        <is>
          <t>自辦市地重劃</t>
        </is>
      </c>
      <c r="G450" s="5" t="inlineStr">
        <is>
          <t>豐邑FB計劃文心匯</t>
        </is>
      </c>
      <c r="H450" s="5" t="inlineStr">
        <is>
          <t>豐邑建設</t>
        </is>
      </c>
      <c r="I450" s="5" t="inlineStr">
        <is>
          <t>505戶</t>
        </is>
      </c>
      <c r="J450" s="5" t="inlineStr">
        <is>
          <t>39-43坪</t>
        </is>
      </c>
      <c r="K450" s="5" t="inlineStr">
        <is>
          <t>60.85萬/坪</t>
        </is>
      </c>
      <c r="L450" s="5" t="inlineStr"/>
      <c r="M450" s="5" t="inlineStr">
        <is>
          <t>已完工</t>
        </is>
      </c>
      <c r="N450" s="5" t="inlineStr">
        <is>
          <t>L3</t>
        </is>
      </c>
      <c r="O450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1">
      <c r="A451" s="5" t="n">
        <v>450</v>
      </c>
      <c r="B451" s="5" t="inlineStr">
        <is>
          <t>新竹市</t>
        </is>
      </c>
      <c r="C451" s="5" t="inlineStr">
        <is>
          <t>A21007</t>
        </is>
      </c>
      <c r="D451" s="5" t="inlineStr">
        <is>
          <t>hsinchu-city</t>
        </is>
      </c>
      <c r="E451" s="5" t="inlineStr">
        <is>
          <t>市區多處自辦重劃</t>
        </is>
      </c>
      <c r="F451" s="5" t="inlineStr">
        <is>
          <t>自辦市地重劃</t>
        </is>
      </c>
      <c r="G451" s="5" t="inlineStr">
        <is>
          <t>竹科悅揚</t>
        </is>
      </c>
      <c r="H451" s="5" t="inlineStr"/>
      <c r="I451" s="5" t="inlineStr">
        <is>
          <t>982戶</t>
        </is>
      </c>
      <c r="J451" s="5" t="inlineStr">
        <is>
          <t>24-38坪</t>
        </is>
      </c>
      <c r="K451" s="5" t="inlineStr">
        <is>
          <t>73.09萬/坪</t>
        </is>
      </c>
      <c r="L451" s="5" t="inlineStr"/>
      <c r="M451" s="5" t="inlineStr">
        <is>
          <t>已完工</t>
        </is>
      </c>
      <c r="N451" s="5" t="inlineStr">
        <is>
          <t>L3</t>
        </is>
      </c>
      <c r="O451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2">
      <c r="A452" s="5" t="n">
        <v>451</v>
      </c>
      <c r="B452" s="5" t="inlineStr">
        <is>
          <t>新竹市</t>
        </is>
      </c>
      <c r="C452" s="5" t="inlineStr">
        <is>
          <t>A21007</t>
        </is>
      </c>
      <c r="D452" s="5" t="inlineStr">
        <is>
          <t>hsinchu-city</t>
        </is>
      </c>
      <c r="E452" s="5" t="inlineStr">
        <is>
          <t>市區多處自辦重劃</t>
        </is>
      </c>
      <c r="F452" s="5" t="inlineStr">
        <is>
          <t>自辦市地重劃</t>
        </is>
      </c>
      <c r="G452" s="5" t="inlineStr">
        <is>
          <t>竹科潤隆</t>
        </is>
      </c>
      <c r="H452" s="5" t="inlineStr"/>
      <c r="I452" s="5" t="inlineStr">
        <is>
          <t>1047戶</t>
        </is>
      </c>
      <c r="J452" s="5" t="inlineStr">
        <is>
          <t>23-57坪</t>
        </is>
      </c>
      <c r="K452" s="5" t="inlineStr">
        <is>
          <t>70.12萬/坪</t>
        </is>
      </c>
      <c r="L452" s="5" t="inlineStr"/>
      <c r="M452" s="5" t="inlineStr">
        <is>
          <t>已完工</t>
        </is>
      </c>
      <c r="N452" s="5" t="inlineStr">
        <is>
          <t>L3</t>
        </is>
      </c>
      <c r="O452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3">
      <c r="A453" s="5" t="n">
        <v>452</v>
      </c>
      <c r="B453" s="5" t="inlineStr">
        <is>
          <t>新竹市</t>
        </is>
      </c>
      <c r="C453" s="5" t="inlineStr">
        <is>
          <t>A21007</t>
        </is>
      </c>
      <c r="D453" s="5" t="inlineStr">
        <is>
          <t>hsinchu-city</t>
        </is>
      </c>
      <c r="E453" s="5" t="inlineStr">
        <is>
          <t>市區多處自辦重劃</t>
        </is>
      </c>
      <c r="F453" s="5" t="inlineStr">
        <is>
          <t>自辦市地重劃</t>
        </is>
      </c>
      <c r="G453" s="5" t="inlineStr">
        <is>
          <t>金弘天希</t>
        </is>
      </c>
      <c r="H453" s="5" t="inlineStr"/>
      <c r="I453" s="5" t="inlineStr">
        <is>
          <t>57戶</t>
        </is>
      </c>
      <c r="J453" s="5" t="inlineStr">
        <is>
          <t>46-48坪</t>
        </is>
      </c>
      <c r="K453" s="5" t="inlineStr">
        <is>
          <t>69.25萬/坪</t>
        </is>
      </c>
      <c r="L453" s="5" t="inlineStr"/>
      <c r="M453" s="5" t="inlineStr">
        <is>
          <t>交屋中</t>
        </is>
      </c>
      <c r="N453" s="5" t="inlineStr">
        <is>
          <t>L3</t>
        </is>
      </c>
      <c r="O453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4">
      <c r="A454" s="5" t="n">
        <v>453</v>
      </c>
      <c r="B454" s="5" t="inlineStr">
        <is>
          <t>新竹市</t>
        </is>
      </c>
      <c r="C454" s="5" t="inlineStr">
        <is>
          <t>A21007</t>
        </is>
      </c>
      <c r="D454" s="5" t="inlineStr">
        <is>
          <t>hsinchu-city</t>
        </is>
      </c>
      <c r="E454" s="5" t="inlineStr">
        <is>
          <t>市區多處自辦重劃</t>
        </is>
      </c>
      <c r="F454" s="5" t="inlineStr">
        <is>
          <t>自辦市地重劃</t>
        </is>
      </c>
      <c r="G454" s="5" t="inlineStr">
        <is>
          <t>富宇天雋</t>
        </is>
      </c>
      <c r="H454" s="5" t="inlineStr">
        <is>
          <t>富宇建設</t>
        </is>
      </c>
      <c r="I454" s="5" t="inlineStr">
        <is>
          <t>257戶</t>
        </is>
      </c>
      <c r="J454" s="5" t="inlineStr">
        <is>
          <t>31-50坪</t>
        </is>
      </c>
      <c r="K454" s="5" t="inlineStr">
        <is>
          <t>83.36萬/坪</t>
        </is>
      </c>
      <c r="L454" s="5" t="inlineStr">
        <is>
          <t>2026</t>
        </is>
      </c>
      <c r="M454" s="5" t="inlineStr">
        <is>
          <t>預售</t>
        </is>
      </c>
      <c r="N454" s="5" t="inlineStr">
        <is>
          <t>L3</t>
        </is>
      </c>
      <c r="O454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5">
      <c r="A455" s="5" t="n">
        <v>454</v>
      </c>
      <c r="B455" s="5" t="inlineStr">
        <is>
          <t>新竹市</t>
        </is>
      </c>
      <c r="C455" s="5" t="inlineStr">
        <is>
          <t>A21007</t>
        </is>
      </c>
      <c r="D455" s="5" t="inlineStr">
        <is>
          <t>hsinchu-city</t>
        </is>
      </c>
      <c r="E455" s="5" t="inlineStr">
        <is>
          <t>市區多處自辦重劃</t>
        </is>
      </c>
      <c r="F455" s="5" t="inlineStr">
        <is>
          <t>自辦市地重劃</t>
        </is>
      </c>
      <c r="G455" s="5" t="inlineStr">
        <is>
          <t>昌益鉑翡</t>
        </is>
      </c>
      <c r="H455" s="5" t="inlineStr">
        <is>
          <t>昌益建設</t>
        </is>
      </c>
      <c r="I455" s="5" t="inlineStr">
        <is>
          <t>169戶</t>
        </is>
      </c>
      <c r="J455" s="5" t="inlineStr">
        <is>
          <t>26-28坪</t>
        </is>
      </c>
      <c r="K455" s="5" t="inlineStr"/>
      <c r="L455" s="5" t="inlineStr">
        <is>
          <t>2029</t>
        </is>
      </c>
      <c r="M455" s="5" t="inlineStr">
        <is>
          <t>預售</t>
        </is>
      </c>
      <c r="N455" s="5" t="inlineStr">
        <is>
          <t>L3</t>
        </is>
      </c>
      <c r="O455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6">
      <c r="A456" s="5" t="n">
        <v>455</v>
      </c>
      <c r="B456" s="5" t="inlineStr">
        <is>
          <t>新竹市</t>
        </is>
      </c>
      <c r="C456" s="5" t="inlineStr">
        <is>
          <t>A21007</t>
        </is>
      </c>
      <c r="D456" s="5" t="inlineStr">
        <is>
          <t>hsinchu-city</t>
        </is>
      </c>
      <c r="E456" s="5" t="inlineStr">
        <is>
          <t>市區多處自辦重劃</t>
        </is>
      </c>
      <c r="F456" s="5" t="inlineStr">
        <is>
          <t>自辦市地重劃</t>
        </is>
      </c>
      <c r="G456" s="5" t="inlineStr">
        <is>
          <t>高豐匯</t>
        </is>
      </c>
      <c r="H456" s="5" t="inlineStr"/>
      <c r="I456" s="5" t="inlineStr">
        <is>
          <t>29戶</t>
        </is>
      </c>
      <c r="J456" s="5" t="inlineStr">
        <is>
          <t>21-33坪</t>
        </is>
      </c>
      <c r="K456" s="5" t="inlineStr">
        <is>
          <t>72.97萬/坪</t>
        </is>
      </c>
      <c r="L456" s="5" t="inlineStr"/>
      <c r="M456" s="5" t="inlineStr">
        <is>
          <t>預售</t>
        </is>
      </c>
      <c r="N456" s="5" t="inlineStr">
        <is>
          <t>L3</t>
        </is>
      </c>
      <c r="O456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7">
      <c r="A457" s="5" t="n">
        <v>456</v>
      </c>
      <c r="B457" s="5" t="inlineStr">
        <is>
          <t>新竹市</t>
        </is>
      </c>
      <c r="C457" s="5" t="inlineStr">
        <is>
          <t>A21007</t>
        </is>
      </c>
      <c r="D457" s="5" t="inlineStr">
        <is>
          <t>hsinchu-city</t>
        </is>
      </c>
      <c r="E457" s="5" t="inlineStr">
        <is>
          <t>市區多處自辦重劃</t>
        </is>
      </c>
      <c r="F457" s="5" t="inlineStr">
        <is>
          <t>自辦市地重劃</t>
        </is>
      </c>
      <c r="G457" s="5" t="inlineStr">
        <is>
          <t>昌益芬蘭</t>
        </is>
      </c>
      <c r="H457" s="5" t="inlineStr">
        <is>
          <t>昌益建設</t>
        </is>
      </c>
      <c r="I457" s="5" t="inlineStr">
        <is>
          <t>531戶</t>
        </is>
      </c>
      <c r="J457" s="5" t="inlineStr">
        <is>
          <t>36-48坪</t>
        </is>
      </c>
      <c r="K457" s="5" t="inlineStr">
        <is>
          <t>59.23萬/坪</t>
        </is>
      </c>
      <c r="L457" s="5" t="inlineStr"/>
      <c r="M457" s="5" t="inlineStr">
        <is>
          <t>已完工</t>
        </is>
      </c>
      <c r="N457" s="5" t="inlineStr">
        <is>
          <t>L3</t>
        </is>
      </c>
      <c r="O457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8">
      <c r="A458" s="5" t="n">
        <v>457</v>
      </c>
      <c r="B458" s="5" t="inlineStr">
        <is>
          <t>新竹市</t>
        </is>
      </c>
      <c r="C458" s="5" t="inlineStr">
        <is>
          <t>A21007</t>
        </is>
      </c>
      <c r="D458" s="5" t="inlineStr">
        <is>
          <t>hsinchu-city</t>
        </is>
      </c>
      <c r="E458" s="5" t="inlineStr">
        <is>
          <t>市區多處自辦重劃</t>
        </is>
      </c>
      <c r="F458" s="5" t="inlineStr">
        <is>
          <t>自辦市地重劃</t>
        </is>
      </c>
      <c r="G458" s="5" t="inlineStr">
        <is>
          <t>昌益北歐</t>
        </is>
      </c>
      <c r="H458" s="5" t="inlineStr">
        <is>
          <t>昌益建設</t>
        </is>
      </c>
      <c r="I458" s="5" t="inlineStr">
        <is>
          <t>446戶</t>
        </is>
      </c>
      <c r="J458" s="5" t="inlineStr">
        <is>
          <t>39-72坪</t>
        </is>
      </c>
      <c r="K458" s="5" t="inlineStr">
        <is>
          <t>59.63萬/坪</t>
        </is>
      </c>
      <c r="L458" s="5" t="inlineStr"/>
      <c r="M458" s="5" t="inlineStr">
        <is>
          <t>已完工</t>
        </is>
      </c>
      <c r="N458" s="5" t="inlineStr">
        <is>
          <t>L3</t>
        </is>
      </c>
      <c r="O458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9">
      <c r="A459" s="5" t="n">
        <v>458</v>
      </c>
      <c r="B459" s="5" t="inlineStr">
        <is>
          <t>新竹市</t>
        </is>
      </c>
      <c r="C459" s="5" t="inlineStr">
        <is>
          <t>A21007</t>
        </is>
      </c>
      <c r="D459" s="5" t="inlineStr">
        <is>
          <t>hsinchu-city</t>
        </is>
      </c>
      <c r="E459" s="5" t="inlineStr">
        <is>
          <t>市區多處自辦重劃</t>
        </is>
      </c>
      <c r="F459" s="5" t="inlineStr">
        <is>
          <t>自辦市地重劃</t>
        </is>
      </c>
      <c r="G459" s="5" t="inlineStr">
        <is>
          <t>昌益丹麥</t>
        </is>
      </c>
      <c r="H459" s="5" t="inlineStr">
        <is>
          <t>昌益建設</t>
        </is>
      </c>
      <c r="I459" s="5" t="inlineStr">
        <is>
          <t>460戶</t>
        </is>
      </c>
      <c r="J459" s="5" t="inlineStr">
        <is>
          <t>36-66坪</t>
        </is>
      </c>
      <c r="K459" s="5" t="inlineStr">
        <is>
          <t>54.02萬/坪</t>
        </is>
      </c>
      <c r="L459" s="5" t="inlineStr"/>
      <c r="M459" s="5" t="inlineStr">
        <is>
          <t>已完工</t>
        </is>
      </c>
      <c r="N459" s="5" t="inlineStr">
        <is>
          <t>L3</t>
        </is>
      </c>
      <c r="O459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0">
      <c r="A460" s="5" t="n">
        <v>459</v>
      </c>
      <c r="B460" s="5" t="inlineStr">
        <is>
          <t>新竹市</t>
        </is>
      </c>
      <c r="C460" s="5" t="inlineStr">
        <is>
          <t>A21007</t>
        </is>
      </c>
      <c r="D460" s="5" t="inlineStr">
        <is>
          <t>hsinchu-city</t>
        </is>
      </c>
      <c r="E460" s="5" t="inlineStr">
        <is>
          <t>市區多處自辦重劃</t>
        </is>
      </c>
      <c r="F460" s="5" t="inlineStr">
        <is>
          <t>自辦市地重劃</t>
        </is>
      </c>
      <c r="G460" s="5" t="inlineStr">
        <is>
          <t>東京六本木</t>
        </is>
      </c>
      <c r="H460" s="5" t="inlineStr"/>
      <c r="I460" s="5" t="inlineStr">
        <is>
          <t>184戶</t>
        </is>
      </c>
      <c r="J460" s="5" t="inlineStr">
        <is>
          <t>50-65坪</t>
        </is>
      </c>
      <c r="K460" s="5" t="inlineStr">
        <is>
          <t>66.22萬/坪</t>
        </is>
      </c>
      <c r="L460" s="5" t="inlineStr"/>
      <c r="M460" s="5" t="inlineStr">
        <is>
          <t>已完工</t>
        </is>
      </c>
      <c r="N460" s="5" t="inlineStr">
        <is>
          <t>L3</t>
        </is>
      </c>
      <c r="O460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1">
      <c r="A461" s="5" t="n">
        <v>460</v>
      </c>
      <c r="B461" s="5" t="inlineStr">
        <is>
          <t>新竹市</t>
        </is>
      </c>
      <c r="C461" s="5" t="inlineStr">
        <is>
          <t>A21007</t>
        </is>
      </c>
      <c r="D461" s="5" t="inlineStr">
        <is>
          <t>hsinchu-city</t>
        </is>
      </c>
      <c r="E461" s="5" t="inlineStr">
        <is>
          <t>市區多處自辦重劃</t>
        </is>
      </c>
      <c r="F461" s="5" t="inlineStr">
        <is>
          <t>自辦市地重劃</t>
        </is>
      </c>
      <c r="G461" s="5" t="inlineStr">
        <is>
          <t>豐邑1極</t>
        </is>
      </c>
      <c r="H461" s="5" t="inlineStr">
        <is>
          <t>豐邑建設</t>
        </is>
      </c>
      <c r="I461" s="5" t="inlineStr">
        <is>
          <t>339戶</t>
        </is>
      </c>
      <c r="J461" s="5" t="inlineStr">
        <is>
          <t>42-80坪</t>
        </is>
      </c>
      <c r="K461" s="5" t="inlineStr">
        <is>
          <t>65.24萬/坪</t>
        </is>
      </c>
      <c r="L461" s="5" t="inlineStr"/>
      <c r="M461" s="5" t="inlineStr">
        <is>
          <t>已完工</t>
        </is>
      </c>
      <c r="N461" s="5" t="inlineStr">
        <is>
          <t>L3</t>
        </is>
      </c>
      <c r="O461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2">
      <c r="A462" s="5" t="n">
        <v>461</v>
      </c>
      <c r="B462" s="5" t="inlineStr">
        <is>
          <t>新竹市</t>
        </is>
      </c>
      <c r="C462" s="5" t="inlineStr">
        <is>
          <t>A21007</t>
        </is>
      </c>
      <c r="D462" s="5" t="inlineStr">
        <is>
          <t>hsinchu-city</t>
        </is>
      </c>
      <c r="E462" s="5" t="inlineStr">
        <is>
          <t>市區多處自辦重劃</t>
        </is>
      </c>
      <c r="F462" s="5" t="inlineStr">
        <is>
          <t>自辦市地重劃</t>
        </is>
      </c>
      <c r="G462" s="5" t="inlineStr">
        <is>
          <t>富宇君鼎</t>
        </is>
      </c>
      <c r="H462" s="5" t="inlineStr">
        <is>
          <t>富宇建設</t>
        </is>
      </c>
      <c r="I462" s="5" t="inlineStr">
        <is>
          <t>92戶</t>
        </is>
      </c>
      <c r="J462" s="5" t="inlineStr">
        <is>
          <t>74-151坪</t>
        </is>
      </c>
      <c r="K462" s="5" t="inlineStr">
        <is>
          <t>58.23萬/坪</t>
        </is>
      </c>
      <c r="L462" s="5" t="inlineStr"/>
      <c r="M462" s="5" t="inlineStr">
        <is>
          <t>已完工</t>
        </is>
      </c>
      <c r="N462" s="5" t="inlineStr">
        <is>
          <t>L3</t>
        </is>
      </c>
      <c r="O462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3">
      <c r="A463" s="5" t="n">
        <v>462</v>
      </c>
      <c r="B463" s="5" t="inlineStr">
        <is>
          <t>新竹市</t>
        </is>
      </c>
      <c r="C463" s="5" t="inlineStr">
        <is>
          <t>A21007</t>
        </is>
      </c>
      <c r="D463" s="5" t="inlineStr">
        <is>
          <t>hsinchu-city</t>
        </is>
      </c>
      <c r="E463" s="5" t="inlineStr">
        <is>
          <t>市區多處自辦重劃</t>
        </is>
      </c>
      <c r="F463" s="5" t="inlineStr">
        <is>
          <t>自辦市地重劃</t>
        </is>
      </c>
      <c r="G463" s="5" t="inlineStr">
        <is>
          <t>東京中城</t>
        </is>
      </c>
      <c r="H463" s="5" t="inlineStr"/>
      <c r="I463" s="5" t="inlineStr">
        <is>
          <t>144戶</t>
        </is>
      </c>
      <c r="J463" s="5" t="inlineStr">
        <is>
          <t>48-75坪</t>
        </is>
      </c>
      <c r="K463" s="5" t="inlineStr">
        <is>
          <t>74.79萬/坪</t>
        </is>
      </c>
      <c r="L463" s="5" t="inlineStr"/>
      <c r="M463" s="5" t="inlineStr">
        <is>
          <t>已完工</t>
        </is>
      </c>
      <c r="N463" s="5" t="inlineStr">
        <is>
          <t>L3</t>
        </is>
      </c>
      <c r="O463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4">
      <c r="A464" s="5" t="n">
        <v>463</v>
      </c>
      <c r="B464" s="5" t="inlineStr">
        <is>
          <t>新竹市</t>
        </is>
      </c>
      <c r="C464" s="5" t="inlineStr">
        <is>
          <t>A21007</t>
        </is>
      </c>
      <c r="D464" s="5" t="inlineStr">
        <is>
          <t>hsinchu-city</t>
        </is>
      </c>
      <c r="E464" s="5" t="inlineStr">
        <is>
          <t>市區多處自辦重劃</t>
        </is>
      </c>
      <c r="F464" s="5" t="inlineStr">
        <is>
          <t>自辦市地重劃</t>
        </is>
      </c>
      <c r="G464" s="5" t="inlineStr">
        <is>
          <t>新東京</t>
        </is>
      </c>
      <c r="H464" s="5" t="inlineStr"/>
      <c r="I464" s="5" t="inlineStr">
        <is>
          <t>127戶</t>
        </is>
      </c>
      <c r="J464" s="5" t="inlineStr">
        <is>
          <t>31-49坪</t>
        </is>
      </c>
      <c r="K464" s="5" t="inlineStr">
        <is>
          <t>75.10萬/坪</t>
        </is>
      </c>
      <c r="L464" s="5" t="inlineStr"/>
      <c r="M464" s="5" t="inlineStr">
        <is>
          <t>已完工</t>
        </is>
      </c>
      <c r="N464" s="5" t="inlineStr">
        <is>
          <t>L3</t>
        </is>
      </c>
      <c r="O464" s="5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5">
      <c r="A465" s="5" t="n">
        <v>464</v>
      </c>
      <c r="B465" s="5" t="inlineStr">
        <is>
          <t>新竹市</t>
        </is>
      </c>
      <c r="C465" s="5" t="inlineStr">
        <is>
          <t>A21007</t>
        </is>
      </c>
      <c r="D465" s="5" t="inlineStr">
        <is>
          <t>hsinchu-city</t>
        </is>
      </c>
      <c r="E465" s="5" t="inlineStr">
        <is>
          <t>市區多處自辦重劃</t>
        </is>
      </c>
      <c r="F465" s="5" t="inlineStr">
        <is>
          <t>自辦市地重劃</t>
        </is>
      </c>
      <c r="G465" s="5" t="inlineStr">
        <is>
          <t>富宇權峰</t>
        </is>
      </c>
      <c r="H465" s="5" t="inlineStr">
        <is>
          <t>富宇地產</t>
        </is>
      </c>
      <c r="I465" s="5" t="inlineStr"/>
      <c r="J465" s="5" t="inlineStr"/>
      <c r="K465" s="5" t="inlineStr">
        <is>
          <t>34-39萬/坪</t>
        </is>
      </c>
      <c r="L465" s="5" t="inlineStr"/>
      <c r="M465" s="5" t="inlineStr">
        <is>
          <t>已完銷</t>
        </is>
      </c>
      <c r="N465" s="5" t="inlineStr">
        <is>
          <t>L3</t>
        </is>
      </c>
      <c r="O465" s="5" t="inlineStr">
        <is>
          <t>https://knowhouse.tw/2137</t>
        </is>
      </c>
    </row>
    <row r="466">
      <c r="A466" s="5" t="n">
        <v>465</v>
      </c>
      <c r="B466" s="5" t="inlineStr">
        <is>
          <t>新竹市</t>
        </is>
      </c>
      <c r="C466" s="5" t="inlineStr">
        <is>
          <t>A21007</t>
        </is>
      </c>
      <c r="D466" s="5" t="inlineStr">
        <is>
          <t>hsinchu-city</t>
        </is>
      </c>
      <c r="E466" s="5" t="inlineStr">
        <is>
          <t>金山街自辦重劃</t>
        </is>
      </c>
      <c r="F466" s="5" t="inlineStr">
        <is>
          <t>自辦市地重劃</t>
        </is>
      </c>
      <c r="G466" s="5" t="inlineStr">
        <is>
          <t>昌禾世界首席</t>
        </is>
      </c>
      <c r="H466" s="5" t="inlineStr">
        <is>
          <t>昌禾建設</t>
        </is>
      </c>
      <c r="I466" s="5" t="inlineStr">
        <is>
          <t>205戶</t>
        </is>
      </c>
      <c r="J466" s="5" t="inlineStr"/>
      <c r="K466" s="5" t="inlineStr"/>
      <c r="L466" s="5" t="inlineStr">
        <is>
          <t>2024</t>
        </is>
      </c>
      <c r="M466" s="5" t="inlineStr">
        <is>
          <t>已完工</t>
        </is>
      </c>
      <c r="N466" s="5" t="inlineStr">
        <is>
          <t>L3</t>
        </is>
      </c>
      <c r="O466" s="5" t="inlineStr">
        <is>
          <t>https://housezong.com/house-introduction-29/</t>
        </is>
      </c>
    </row>
    <row r="467">
      <c r="A467" s="5" t="n">
        <v>466</v>
      </c>
      <c r="B467" s="5" t="inlineStr">
        <is>
          <t>新竹市</t>
        </is>
      </c>
      <c r="C467" s="5" t="inlineStr">
        <is>
          <t>A21007</t>
        </is>
      </c>
      <c r="D467" s="5" t="inlineStr">
        <is>
          <t>hsinchu-city</t>
        </is>
      </c>
      <c r="E467" s="5" t="inlineStr">
        <is>
          <t>金山街自辦重劃</t>
        </is>
      </c>
      <c r="F467" s="5" t="inlineStr">
        <is>
          <t>自辦市地重劃</t>
        </is>
      </c>
      <c r="G467" s="5" t="inlineStr">
        <is>
          <t>昌益創世紀</t>
        </is>
      </c>
      <c r="H467" s="5" t="inlineStr">
        <is>
          <t>昌益建設</t>
        </is>
      </c>
      <c r="I467" s="5" t="inlineStr"/>
      <c r="J467" s="5" t="inlineStr">
        <is>
          <t>44-82坪</t>
        </is>
      </c>
      <c r="K467" s="5" t="inlineStr"/>
      <c r="L467" s="5" t="inlineStr"/>
      <c r="M467" s="5" t="inlineStr">
        <is>
          <t>已完工</t>
        </is>
      </c>
      <c r="N467" s="5" t="inlineStr">
        <is>
          <t>L3</t>
        </is>
      </c>
      <c r="O467" s="5" t="inlineStr">
        <is>
          <t>https://hsinchu.housetube.tw/8596</t>
        </is>
      </c>
    </row>
    <row r="468">
      <c r="A468" s="5" t="n">
        <v>467</v>
      </c>
      <c r="B468" s="5" t="inlineStr">
        <is>
          <t>新竹市</t>
        </is>
      </c>
      <c r="C468" s="5" t="inlineStr">
        <is>
          <t>A21007</t>
        </is>
      </c>
      <c r="D468" s="5" t="inlineStr">
        <is>
          <t>hsinchu-city</t>
        </is>
      </c>
      <c r="E468" s="5" t="inlineStr">
        <is>
          <t>金山街自辦重劃</t>
        </is>
      </c>
      <c r="F468" s="5" t="inlineStr">
        <is>
          <t>自辦市地重劃</t>
        </is>
      </c>
      <c r="G468" s="5" t="inlineStr">
        <is>
          <t>睿海</t>
        </is>
      </c>
      <c r="H468" s="5" t="inlineStr">
        <is>
          <t>昌益建設</t>
        </is>
      </c>
      <c r="I468" s="5" t="inlineStr"/>
      <c r="J468" s="5" t="inlineStr">
        <is>
          <t>38-85坪</t>
        </is>
      </c>
      <c r="K468" s="5" t="inlineStr"/>
      <c r="L468" s="5" t="inlineStr"/>
      <c r="M468" s="5" t="inlineStr">
        <is>
          <t>銷售中</t>
        </is>
      </c>
      <c r="N468" s="5" t="inlineStr">
        <is>
          <t>L3</t>
        </is>
      </c>
      <c r="O468" s="5" t="inlineStr">
        <is>
          <t>https://hsinchu.housetube.tw/8036</t>
        </is>
      </c>
    </row>
    <row r="469">
      <c r="A469" s="5" t="n">
        <v>468</v>
      </c>
      <c r="B469" s="5" t="inlineStr">
        <is>
          <t>新竹縣</t>
        </is>
      </c>
      <c r="C469" s="5" t="inlineStr">
        <is>
          <t>A21008</t>
        </is>
      </c>
      <c r="D469" s="5" t="inlineStr">
        <is>
          <t>hsinchu-county</t>
        </is>
      </c>
      <c r="E469" s="5" t="inlineStr">
        <is>
          <t>竹北多期公辦重劃</t>
        </is>
      </c>
      <c r="F469" s="5" t="inlineStr">
        <is>
          <t>公辦市地重劃</t>
        </is>
      </c>
      <c r="G469" s="5" t="inlineStr">
        <is>
          <t>品創墨品</t>
        </is>
      </c>
      <c r="H469" s="5" t="inlineStr"/>
      <c r="I469" s="5" t="inlineStr">
        <is>
          <t>22戶</t>
        </is>
      </c>
      <c r="J469" s="5" t="inlineStr">
        <is>
          <t>40-46坪</t>
        </is>
      </c>
      <c r="K469" s="5" t="inlineStr">
        <is>
          <t>55萬/坪(開價)</t>
        </is>
      </c>
      <c r="L469" s="5" t="inlineStr">
        <is>
          <t>2026</t>
        </is>
      </c>
      <c r="M469" s="5" t="inlineStr">
        <is>
          <t>預售</t>
        </is>
      </c>
      <c r="N469" s="5" t="inlineStr">
        <is>
          <t>L3</t>
        </is>
      </c>
      <c r="O469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0">
      <c r="A470" s="5" t="n">
        <v>469</v>
      </c>
      <c r="B470" s="5" t="inlineStr">
        <is>
          <t>新竹縣</t>
        </is>
      </c>
      <c r="C470" s="5" t="inlineStr">
        <is>
          <t>A21008</t>
        </is>
      </c>
      <c r="D470" s="5" t="inlineStr">
        <is>
          <t>hsinchu-county</t>
        </is>
      </c>
      <c r="E470" s="5" t="inlineStr">
        <is>
          <t>竹北多期公辦重劃</t>
        </is>
      </c>
      <c r="F470" s="5" t="inlineStr">
        <is>
          <t>公辦市地重劃</t>
        </is>
      </c>
      <c r="G470" s="5" t="inlineStr">
        <is>
          <t>城心苑3</t>
        </is>
      </c>
      <c r="H470" s="5" t="inlineStr"/>
      <c r="I470" s="5" t="inlineStr">
        <is>
          <t>14戶</t>
        </is>
      </c>
      <c r="J470" s="5" t="inlineStr">
        <is>
          <t>29-39坪</t>
        </is>
      </c>
      <c r="K470" s="5" t="inlineStr">
        <is>
          <t>72.50萬/坪</t>
        </is>
      </c>
      <c r="L470" s="5" t="inlineStr">
        <is>
          <t>2027</t>
        </is>
      </c>
      <c r="M470" s="5" t="inlineStr">
        <is>
          <t>預售</t>
        </is>
      </c>
      <c r="N470" s="5" t="inlineStr">
        <is>
          <t>L3</t>
        </is>
      </c>
      <c r="O470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1">
      <c r="A471" s="5" t="n">
        <v>470</v>
      </c>
      <c r="B471" s="5" t="inlineStr">
        <is>
          <t>新竹縣</t>
        </is>
      </c>
      <c r="C471" s="5" t="inlineStr">
        <is>
          <t>A21008</t>
        </is>
      </c>
      <c r="D471" s="5" t="inlineStr">
        <is>
          <t>hsinchu-county</t>
        </is>
      </c>
      <c r="E471" s="5" t="inlineStr">
        <is>
          <t>竹北多期公辦重劃</t>
        </is>
      </c>
      <c r="F471" s="5" t="inlineStr">
        <is>
          <t>公辦市地重劃</t>
        </is>
      </c>
      <c r="G471" s="5" t="inlineStr">
        <is>
          <t>中悅帝苑</t>
        </is>
      </c>
      <c r="H471" s="5" t="inlineStr"/>
      <c r="I471" s="5" t="inlineStr">
        <is>
          <t>102戶</t>
        </is>
      </c>
      <c r="J471" s="5" t="inlineStr">
        <is>
          <t>100-196坪</t>
        </is>
      </c>
      <c r="K471" s="5" t="inlineStr">
        <is>
          <t>49.23萬/坪</t>
        </is>
      </c>
      <c r="L471" s="5" t="inlineStr"/>
      <c r="M471" s="5" t="inlineStr">
        <is>
          <t>已完工</t>
        </is>
      </c>
      <c r="N471" s="5" t="inlineStr">
        <is>
          <t>L3</t>
        </is>
      </c>
      <c r="O471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2">
      <c r="A472" s="5" t="n">
        <v>471</v>
      </c>
      <c r="B472" s="5" t="inlineStr">
        <is>
          <t>新竹縣</t>
        </is>
      </c>
      <c r="C472" s="5" t="inlineStr">
        <is>
          <t>A21008</t>
        </is>
      </c>
      <c r="D472" s="5" t="inlineStr">
        <is>
          <t>hsinchu-county</t>
        </is>
      </c>
      <c r="E472" s="5" t="inlineStr">
        <is>
          <t>竹北多期公辦重劃</t>
        </is>
      </c>
      <c r="F472" s="5" t="inlineStr">
        <is>
          <t>公辦市地重劃</t>
        </is>
      </c>
      <c r="G472" s="5" t="inlineStr">
        <is>
          <t>中悅皇苑</t>
        </is>
      </c>
      <c r="H472" s="5" t="inlineStr"/>
      <c r="I472" s="5" t="inlineStr">
        <is>
          <t>140戶</t>
        </is>
      </c>
      <c r="J472" s="5" t="inlineStr">
        <is>
          <t>105-125坪</t>
        </is>
      </c>
      <c r="K472" s="5" t="inlineStr">
        <is>
          <t>52.67萬/坪</t>
        </is>
      </c>
      <c r="L472" s="5" t="inlineStr"/>
      <c r="M472" s="5" t="inlineStr">
        <is>
          <t>已完工</t>
        </is>
      </c>
      <c r="N472" s="5" t="inlineStr">
        <is>
          <t>L3</t>
        </is>
      </c>
      <c r="O472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3">
      <c r="A473" s="5" t="n">
        <v>472</v>
      </c>
      <c r="B473" s="5" t="inlineStr">
        <is>
          <t>新竹縣</t>
        </is>
      </c>
      <c r="C473" s="5" t="inlineStr">
        <is>
          <t>A21008</t>
        </is>
      </c>
      <c r="D473" s="5" t="inlineStr">
        <is>
          <t>hsinchu-county</t>
        </is>
      </c>
      <c r="E473" s="5" t="inlineStr">
        <is>
          <t>竹北多期公辦重劃</t>
        </is>
      </c>
      <c r="F473" s="5" t="inlineStr">
        <is>
          <t>公辦市地重劃</t>
        </is>
      </c>
      <c r="G473" s="5" t="inlineStr">
        <is>
          <t>遠雄文華匯</t>
        </is>
      </c>
      <c r="H473" s="5" t="inlineStr">
        <is>
          <t>遠雄建設</t>
        </is>
      </c>
      <c r="I473" s="5" t="inlineStr">
        <is>
          <t>194戶</t>
        </is>
      </c>
      <c r="J473" s="5" t="inlineStr">
        <is>
          <t>30-46坪</t>
        </is>
      </c>
      <c r="K473" s="5" t="inlineStr">
        <is>
          <t>67.06萬/坪</t>
        </is>
      </c>
      <c r="L473" s="5" t="inlineStr"/>
      <c r="M473" s="5" t="inlineStr">
        <is>
          <t>已完工</t>
        </is>
      </c>
      <c r="N473" s="5" t="inlineStr">
        <is>
          <t>L3</t>
        </is>
      </c>
      <c r="O473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4">
      <c r="A474" s="5" t="n">
        <v>473</v>
      </c>
      <c r="B474" s="5" t="inlineStr">
        <is>
          <t>新竹縣</t>
        </is>
      </c>
      <c r="C474" s="5" t="inlineStr">
        <is>
          <t>A21008</t>
        </is>
      </c>
      <c r="D474" s="5" t="inlineStr">
        <is>
          <t>hsinchu-county</t>
        </is>
      </c>
      <c r="E474" s="5" t="inlineStr">
        <is>
          <t>竹北多期公辦重劃</t>
        </is>
      </c>
      <c r="F474" s="5" t="inlineStr">
        <is>
          <t>公辦市地重劃</t>
        </is>
      </c>
      <c r="G474" s="5" t="inlineStr">
        <is>
          <t>德鑫一笈</t>
        </is>
      </c>
      <c r="H474" s="5" t="inlineStr"/>
      <c r="I474" s="5" t="inlineStr">
        <is>
          <t>136戶</t>
        </is>
      </c>
      <c r="J474" s="5" t="inlineStr">
        <is>
          <t>40-56坪</t>
        </is>
      </c>
      <c r="K474" s="5" t="inlineStr">
        <is>
          <t>67.85萬/坪</t>
        </is>
      </c>
      <c r="L474" s="5" t="inlineStr"/>
      <c r="M474" s="5" t="inlineStr">
        <is>
          <t>已完工</t>
        </is>
      </c>
      <c r="N474" s="5" t="inlineStr">
        <is>
          <t>L3</t>
        </is>
      </c>
      <c r="O474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5">
      <c r="A475" s="5" t="n">
        <v>474</v>
      </c>
      <c r="B475" s="5" t="inlineStr">
        <is>
          <t>新竹縣</t>
        </is>
      </c>
      <c r="C475" s="5" t="inlineStr">
        <is>
          <t>A21008</t>
        </is>
      </c>
      <c r="D475" s="5" t="inlineStr">
        <is>
          <t>hsinchu-county</t>
        </is>
      </c>
      <c r="E475" s="5" t="inlineStr">
        <is>
          <t>竹北多期公辦重劃</t>
        </is>
      </c>
      <c r="F475" s="5" t="inlineStr">
        <is>
          <t>公辦市地重劃</t>
        </is>
      </c>
      <c r="G475" s="5" t="inlineStr">
        <is>
          <t>惠宇大境</t>
        </is>
      </c>
      <c r="H475" s="5" t="inlineStr">
        <is>
          <t>惠宇建設</t>
        </is>
      </c>
      <c r="I475" s="5" t="inlineStr">
        <is>
          <t>222戶</t>
        </is>
      </c>
      <c r="J475" s="5" t="inlineStr">
        <is>
          <t>32-54坪</t>
        </is>
      </c>
      <c r="K475" s="5" t="inlineStr">
        <is>
          <t>75萬/坪</t>
        </is>
      </c>
      <c r="L475" s="5" t="inlineStr"/>
      <c r="M475" s="5" t="inlineStr">
        <is>
          <t>已完工</t>
        </is>
      </c>
      <c r="N475" s="5" t="inlineStr">
        <is>
          <t>L3</t>
        </is>
      </c>
      <c r="O475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6">
      <c r="A476" s="5" t="n">
        <v>475</v>
      </c>
      <c r="B476" s="5" t="inlineStr">
        <is>
          <t>新竹縣</t>
        </is>
      </c>
      <c r="C476" s="5" t="inlineStr">
        <is>
          <t>A21008</t>
        </is>
      </c>
      <c r="D476" s="5" t="inlineStr">
        <is>
          <t>hsinchu-county</t>
        </is>
      </c>
      <c r="E476" s="5" t="inlineStr">
        <is>
          <t>竹北多期公辦重劃</t>
        </is>
      </c>
      <c r="F476" s="5" t="inlineStr">
        <is>
          <t>公辦市地重劃</t>
        </is>
      </c>
      <c r="G476" s="5" t="inlineStr">
        <is>
          <t>椰林映</t>
        </is>
      </c>
      <c r="H476" s="5" t="inlineStr"/>
      <c r="I476" s="5" t="inlineStr">
        <is>
          <t>111戶</t>
        </is>
      </c>
      <c r="J476" s="5" t="inlineStr">
        <is>
          <t>42-59坪</t>
        </is>
      </c>
      <c r="K476" s="5" t="inlineStr">
        <is>
          <t>28.69萬/坪</t>
        </is>
      </c>
      <c r="L476" s="5" t="inlineStr"/>
      <c r="M476" s="5" t="inlineStr">
        <is>
          <t>已完工</t>
        </is>
      </c>
      <c r="N476" s="5" t="inlineStr">
        <is>
          <t>L3</t>
        </is>
      </c>
      <c r="O476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7">
      <c r="A477" s="5" t="n">
        <v>476</v>
      </c>
      <c r="B477" s="5" t="inlineStr">
        <is>
          <t>新竹縣</t>
        </is>
      </c>
      <c r="C477" s="5" t="inlineStr">
        <is>
          <t>A21008</t>
        </is>
      </c>
      <c r="D477" s="5" t="inlineStr">
        <is>
          <t>hsinchu-county</t>
        </is>
      </c>
      <c r="E477" s="5" t="inlineStr">
        <is>
          <t>竹北多期公辦重劃</t>
        </is>
      </c>
      <c r="F477" s="5" t="inlineStr">
        <is>
          <t>公辦市地重劃</t>
        </is>
      </c>
      <c r="G477" s="5" t="inlineStr">
        <is>
          <t>坤山沐慕</t>
        </is>
      </c>
      <c r="H477" s="5" t="inlineStr">
        <is>
          <t>坤山建設</t>
        </is>
      </c>
      <c r="I477" s="5" t="inlineStr">
        <is>
          <t>82戶</t>
        </is>
      </c>
      <c r="J477" s="5" t="inlineStr">
        <is>
          <t>60-79坪</t>
        </is>
      </c>
      <c r="K477" s="5" t="inlineStr">
        <is>
          <t>47.46萬/坪</t>
        </is>
      </c>
      <c r="L477" s="5" t="inlineStr"/>
      <c r="M477" s="5" t="inlineStr">
        <is>
          <t>已完工</t>
        </is>
      </c>
      <c r="N477" s="5" t="inlineStr">
        <is>
          <t>L3</t>
        </is>
      </c>
      <c r="O477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8">
      <c r="A478" s="5" t="n">
        <v>477</v>
      </c>
      <c r="B478" s="5" t="inlineStr">
        <is>
          <t>新竹縣</t>
        </is>
      </c>
      <c r="C478" s="5" t="inlineStr">
        <is>
          <t>A21008</t>
        </is>
      </c>
      <c r="D478" s="5" t="inlineStr">
        <is>
          <t>hsinchu-county</t>
        </is>
      </c>
      <c r="E478" s="5" t="inlineStr">
        <is>
          <t>竹北多期公辦重劃</t>
        </is>
      </c>
      <c r="F478" s="5" t="inlineStr">
        <is>
          <t>公辦市地重劃</t>
        </is>
      </c>
      <c r="G478" s="5" t="inlineStr">
        <is>
          <t>椰林唯吾</t>
        </is>
      </c>
      <c r="H478" s="5" t="inlineStr"/>
      <c r="I478" s="5" t="inlineStr">
        <is>
          <t>44戶</t>
        </is>
      </c>
      <c r="J478" s="5" t="inlineStr">
        <is>
          <t>69-73坪</t>
        </is>
      </c>
      <c r="K478" s="5" t="inlineStr">
        <is>
          <t>73.05萬/坪</t>
        </is>
      </c>
      <c r="L478" s="5" t="inlineStr"/>
      <c r="M478" s="5" t="inlineStr">
        <is>
          <t>已完工</t>
        </is>
      </c>
      <c r="N478" s="5" t="inlineStr">
        <is>
          <t>L3</t>
        </is>
      </c>
      <c r="O478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9">
      <c r="A479" s="5" t="n">
        <v>478</v>
      </c>
      <c r="B479" s="5" t="inlineStr">
        <is>
          <t>新竹縣</t>
        </is>
      </c>
      <c r="C479" s="5" t="inlineStr">
        <is>
          <t>A21008</t>
        </is>
      </c>
      <c r="D479" s="5" t="inlineStr">
        <is>
          <t>hsinchu-county</t>
        </is>
      </c>
      <c r="E479" s="5" t="inlineStr">
        <is>
          <t>竹北多期公辦重劃</t>
        </is>
      </c>
      <c r="F479" s="5" t="inlineStr">
        <is>
          <t>公辦市地重劃</t>
        </is>
      </c>
      <c r="G479" s="5" t="inlineStr">
        <is>
          <t>禾子旺星光</t>
        </is>
      </c>
      <c r="H479" s="5" t="inlineStr"/>
      <c r="I479" s="5" t="inlineStr">
        <is>
          <t>99戶</t>
        </is>
      </c>
      <c r="J479" s="5" t="inlineStr">
        <is>
          <t>27-44坪</t>
        </is>
      </c>
      <c r="K479" s="5" t="inlineStr">
        <is>
          <t>60.75萬/坪</t>
        </is>
      </c>
      <c r="L479" s="5" t="inlineStr"/>
      <c r="M479" s="5" t="inlineStr">
        <is>
          <t>已完工</t>
        </is>
      </c>
      <c r="N479" s="5" t="inlineStr">
        <is>
          <t>L3</t>
        </is>
      </c>
      <c r="O479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80">
      <c r="A480" s="5" t="n">
        <v>479</v>
      </c>
      <c r="B480" s="5" t="inlineStr">
        <is>
          <t>新竹縣</t>
        </is>
      </c>
      <c r="C480" s="5" t="inlineStr">
        <is>
          <t>A21008</t>
        </is>
      </c>
      <c r="D480" s="5" t="inlineStr">
        <is>
          <t>hsinchu-county</t>
        </is>
      </c>
      <c r="E480" s="5" t="inlineStr">
        <is>
          <t>竹北多期公辦重劃</t>
        </is>
      </c>
      <c r="F480" s="5" t="inlineStr">
        <is>
          <t>公辦市地重劃</t>
        </is>
      </c>
      <c r="G480" s="5" t="inlineStr">
        <is>
          <t>春福川玥</t>
        </is>
      </c>
      <c r="H480" s="5" t="inlineStr"/>
      <c r="I480" s="5" t="inlineStr">
        <is>
          <t>131戶</t>
        </is>
      </c>
      <c r="J480" s="5" t="inlineStr">
        <is>
          <t>24-36坪</t>
        </is>
      </c>
      <c r="K480" s="5" t="inlineStr">
        <is>
          <t>72.53萬/坪</t>
        </is>
      </c>
      <c r="L480" s="5" t="inlineStr"/>
      <c r="M480" s="5" t="inlineStr">
        <is>
          <t>交屋中</t>
        </is>
      </c>
      <c r="N480" s="5" t="inlineStr">
        <is>
          <t>L3</t>
        </is>
      </c>
      <c r="O480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81">
      <c r="A481" s="5" t="n">
        <v>480</v>
      </c>
      <c r="B481" s="5" t="inlineStr">
        <is>
          <t>新竹縣</t>
        </is>
      </c>
      <c r="C481" s="5" t="inlineStr">
        <is>
          <t>A21008</t>
        </is>
      </c>
      <c r="D481" s="5" t="inlineStr">
        <is>
          <t>hsinchu-county</t>
        </is>
      </c>
      <c r="E481" s="5" t="inlineStr">
        <is>
          <t>竹北多期公辦重劃</t>
        </is>
      </c>
      <c r="F481" s="5" t="inlineStr">
        <is>
          <t>公辦市地重劃</t>
        </is>
      </c>
      <c r="G481" s="5" t="inlineStr">
        <is>
          <t>坤山臻真</t>
        </is>
      </c>
      <c r="H481" s="5" t="inlineStr">
        <is>
          <t>坤山建設</t>
        </is>
      </c>
      <c r="I481" s="5" t="inlineStr">
        <is>
          <t>81戶</t>
        </is>
      </c>
      <c r="J481" s="5" t="inlineStr">
        <is>
          <t>40-52坪</t>
        </is>
      </c>
      <c r="K481" s="5" t="inlineStr">
        <is>
          <t>74.01萬/坪</t>
        </is>
      </c>
      <c r="L481" s="5" t="inlineStr"/>
      <c r="M481" s="5" t="inlineStr">
        <is>
          <t>交屋中</t>
        </is>
      </c>
      <c r="N481" s="5" t="inlineStr">
        <is>
          <t>L3</t>
        </is>
      </c>
      <c r="O481" s="5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82">
      <c r="A482" s="5" t="n">
        <v>481</v>
      </c>
      <c r="B482" s="5" t="inlineStr">
        <is>
          <t>新竹縣</t>
        </is>
      </c>
      <c r="C482" s="5" t="inlineStr">
        <is>
          <t>A21008</t>
        </is>
      </c>
      <c r="D482" s="5" t="inlineStr">
        <is>
          <t>hsinchu-county</t>
        </is>
      </c>
      <c r="E482" s="5" t="inlineStr">
        <is>
          <t>竹北多期公辦重劃</t>
        </is>
      </c>
      <c r="F482" s="5" t="inlineStr">
        <is>
          <t>公辦市地重劃</t>
        </is>
      </c>
      <c r="G482" s="5" t="inlineStr">
        <is>
          <t>賦格律</t>
        </is>
      </c>
      <c r="H482" s="5" t="inlineStr"/>
      <c r="I482" s="5" t="inlineStr">
        <is>
          <t>192戶</t>
        </is>
      </c>
      <c r="J482" s="5" t="inlineStr"/>
      <c r="K482" s="5" t="inlineStr">
        <is>
          <t>59.7萬/坪</t>
        </is>
      </c>
      <c r="L482" s="5" t="inlineStr"/>
      <c r="M482" s="5" t="inlineStr">
        <is>
          <t>已完工</t>
        </is>
      </c>
      <c r="N482" s="5" t="inlineStr">
        <is>
          <t>L3</t>
        </is>
      </c>
      <c r="O482" s="5" t="inlineStr">
        <is>
          <t>https://market.591.com.tw/33001?room=3</t>
        </is>
      </c>
    </row>
    <row r="483">
      <c r="A483" s="5" t="n">
        <v>482</v>
      </c>
      <c r="B483" s="5" t="inlineStr">
        <is>
          <t>新竹縣</t>
        </is>
      </c>
      <c r="C483" s="5" t="inlineStr">
        <is>
          <t>A21008</t>
        </is>
      </c>
      <c r="D483" s="5" t="inlineStr">
        <is>
          <t>hsinchu-county</t>
        </is>
      </c>
      <c r="E483" s="5" t="inlineStr">
        <is>
          <t>竹北多期公辦重劃</t>
        </is>
      </c>
      <c r="F483" s="5" t="inlineStr">
        <is>
          <t>公辦市地重劃</t>
        </is>
      </c>
      <c r="G483" s="5" t="inlineStr">
        <is>
          <t>久煜展閱</t>
        </is>
      </c>
      <c r="H483" s="5" t="inlineStr"/>
      <c r="I483" s="5" t="inlineStr">
        <is>
          <t>19戶</t>
        </is>
      </c>
      <c r="J483" s="5" t="inlineStr">
        <is>
          <t>43坪</t>
        </is>
      </c>
      <c r="K483" s="5" t="inlineStr"/>
      <c r="L483" s="5" t="inlineStr">
        <is>
          <t>2026</t>
        </is>
      </c>
      <c r="M483" s="5" t="inlineStr">
        <is>
          <t>預售</t>
        </is>
      </c>
      <c r="N483" s="5" t="inlineStr">
        <is>
          <t>L3</t>
        </is>
      </c>
      <c r="O483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4">
      <c r="A484" s="5" t="n">
        <v>483</v>
      </c>
      <c r="B484" s="5" t="inlineStr">
        <is>
          <t>新竹縣</t>
        </is>
      </c>
      <c r="C484" s="5" t="inlineStr">
        <is>
          <t>A21008</t>
        </is>
      </c>
      <c r="D484" s="5" t="inlineStr">
        <is>
          <t>hsinchu-county</t>
        </is>
      </c>
      <c r="E484" s="5" t="inlineStr">
        <is>
          <t>竹北多期公辦重劃</t>
        </is>
      </c>
      <c r="F484" s="5" t="inlineStr">
        <is>
          <t>公辦市地重劃</t>
        </is>
      </c>
      <c r="G484" s="5" t="inlineStr">
        <is>
          <t>豐采520</t>
        </is>
      </c>
      <c r="H484" s="5" t="inlineStr"/>
      <c r="I484" s="5" t="inlineStr">
        <is>
          <t>890戶</t>
        </is>
      </c>
      <c r="J484" s="5" t="inlineStr">
        <is>
          <t>34-52坪</t>
        </is>
      </c>
      <c r="K484" s="5" t="inlineStr">
        <is>
          <t>88.14萬/坪</t>
        </is>
      </c>
      <c r="L484" s="5" t="inlineStr">
        <is>
          <t>2028</t>
        </is>
      </c>
      <c r="M484" s="5" t="inlineStr">
        <is>
          <t>預售</t>
        </is>
      </c>
      <c r="N484" s="5" t="inlineStr">
        <is>
          <t>L3</t>
        </is>
      </c>
      <c r="O484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5">
      <c r="A485" s="5" t="n">
        <v>484</v>
      </c>
      <c r="B485" s="5" t="inlineStr">
        <is>
          <t>新竹縣</t>
        </is>
      </c>
      <c r="C485" s="5" t="inlineStr">
        <is>
          <t>A21008</t>
        </is>
      </c>
      <c r="D485" s="5" t="inlineStr">
        <is>
          <t>hsinchu-county</t>
        </is>
      </c>
      <c r="E485" s="5" t="inlineStr">
        <is>
          <t>竹北多期公辦重劃</t>
        </is>
      </c>
      <c r="F485" s="5" t="inlineStr">
        <is>
          <t>公辦市地重劃</t>
        </is>
      </c>
      <c r="G485" s="5" t="inlineStr">
        <is>
          <t>昌益御邸-光明之心</t>
        </is>
      </c>
      <c r="H485" s="5" t="inlineStr">
        <is>
          <t>昌益建設</t>
        </is>
      </c>
      <c r="I485" s="5" t="inlineStr">
        <is>
          <t>193戶</t>
        </is>
      </c>
      <c r="J485" s="5" t="inlineStr">
        <is>
          <t>37-49坪</t>
        </is>
      </c>
      <c r="K485" s="5" t="inlineStr">
        <is>
          <t>91.93萬/坪</t>
        </is>
      </c>
      <c r="L485" s="5" t="inlineStr">
        <is>
          <t>2028</t>
        </is>
      </c>
      <c r="M485" s="5" t="inlineStr">
        <is>
          <t>預售</t>
        </is>
      </c>
      <c r="N485" s="5" t="inlineStr">
        <is>
          <t>L3</t>
        </is>
      </c>
      <c r="O485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6">
      <c r="A486" s="5" t="n">
        <v>485</v>
      </c>
      <c r="B486" s="5" t="inlineStr">
        <is>
          <t>新竹縣</t>
        </is>
      </c>
      <c r="C486" s="5" t="inlineStr">
        <is>
          <t>A21008</t>
        </is>
      </c>
      <c r="D486" s="5" t="inlineStr">
        <is>
          <t>hsinchu-county</t>
        </is>
      </c>
      <c r="E486" s="5" t="inlineStr">
        <is>
          <t>竹北多期公辦重劃</t>
        </is>
      </c>
      <c r="F486" s="5" t="inlineStr">
        <is>
          <t>公辦市地重劃</t>
        </is>
      </c>
      <c r="G486" s="5" t="inlineStr">
        <is>
          <t>URBAN CAMPING</t>
        </is>
      </c>
      <c r="H486" s="5" t="inlineStr"/>
      <c r="I486" s="5" t="inlineStr">
        <is>
          <t>27戶</t>
        </is>
      </c>
      <c r="J486" s="5" t="inlineStr">
        <is>
          <t>50-60坪</t>
        </is>
      </c>
      <c r="K486" s="5" t="inlineStr">
        <is>
          <t>83.40萬/坪</t>
        </is>
      </c>
      <c r="L486" s="5" t="inlineStr"/>
      <c r="M486" s="5" t="inlineStr">
        <is>
          <t>預售</t>
        </is>
      </c>
      <c r="N486" s="5" t="inlineStr">
        <is>
          <t>L3</t>
        </is>
      </c>
      <c r="O486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7">
      <c r="A487" s="5" t="n">
        <v>486</v>
      </c>
      <c r="B487" s="5" t="inlineStr">
        <is>
          <t>新竹縣</t>
        </is>
      </c>
      <c r="C487" s="5" t="inlineStr">
        <is>
          <t>A21008</t>
        </is>
      </c>
      <c r="D487" s="5" t="inlineStr">
        <is>
          <t>hsinchu-county</t>
        </is>
      </c>
      <c r="E487" s="5" t="inlineStr">
        <is>
          <t>竹北多期公辦重劃</t>
        </is>
      </c>
      <c r="F487" s="5" t="inlineStr">
        <is>
          <t>公辦市地重劃</t>
        </is>
      </c>
      <c r="G487" s="5" t="inlineStr">
        <is>
          <t>富宇富玉</t>
        </is>
      </c>
      <c r="H487" s="5" t="inlineStr">
        <is>
          <t>富宇建設</t>
        </is>
      </c>
      <c r="I487" s="5" t="inlineStr">
        <is>
          <t>58戶</t>
        </is>
      </c>
      <c r="J487" s="5" t="inlineStr">
        <is>
          <t>59-79坪</t>
        </is>
      </c>
      <c r="K487" s="5" t="inlineStr">
        <is>
          <t>52.54萬/坪</t>
        </is>
      </c>
      <c r="L487" s="5" t="inlineStr"/>
      <c r="M487" s="5" t="inlineStr">
        <is>
          <t>已完工</t>
        </is>
      </c>
      <c r="N487" s="5" t="inlineStr">
        <is>
          <t>L3</t>
        </is>
      </c>
      <c r="O487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8">
      <c r="A488" s="5" t="n">
        <v>487</v>
      </c>
      <c r="B488" s="5" t="inlineStr">
        <is>
          <t>新竹縣</t>
        </is>
      </c>
      <c r="C488" s="5" t="inlineStr">
        <is>
          <t>A21008</t>
        </is>
      </c>
      <c r="D488" s="5" t="inlineStr">
        <is>
          <t>hsinchu-county</t>
        </is>
      </c>
      <c r="E488" s="5" t="inlineStr">
        <is>
          <t>竹北多期公辦重劃</t>
        </is>
      </c>
      <c r="F488" s="5" t="inlineStr">
        <is>
          <t>公辦市地重劃</t>
        </is>
      </c>
      <c r="G488" s="5" t="inlineStr">
        <is>
          <t>德鑫當代MOMA</t>
        </is>
      </c>
      <c r="H488" s="5" t="inlineStr"/>
      <c r="I488" s="5" t="inlineStr">
        <is>
          <t>149戶</t>
        </is>
      </c>
      <c r="J488" s="5" t="inlineStr">
        <is>
          <t>68-145坪</t>
        </is>
      </c>
      <c r="K488" s="5" t="inlineStr">
        <is>
          <t>62.97萬/坪</t>
        </is>
      </c>
      <c r="L488" s="5" t="inlineStr"/>
      <c r="M488" s="5" t="inlineStr">
        <is>
          <t>已完工</t>
        </is>
      </c>
      <c r="N488" s="5" t="inlineStr">
        <is>
          <t>L3</t>
        </is>
      </c>
      <c r="O488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9">
      <c r="A489" s="5" t="n">
        <v>488</v>
      </c>
      <c r="B489" s="5" t="inlineStr">
        <is>
          <t>新竹縣</t>
        </is>
      </c>
      <c r="C489" s="5" t="inlineStr">
        <is>
          <t>A21008</t>
        </is>
      </c>
      <c r="D489" s="5" t="inlineStr">
        <is>
          <t>hsinchu-county</t>
        </is>
      </c>
      <c r="E489" s="5" t="inlineStr">
        <is>
          <t>竹北多期公辦重劃</t>
        </is>
      </c>
      <c r="F489" s="5" t="inlineStr">
        <is>
          <t>公辦市地重劃</t>
        </is>
      </c>
      <c r="G489" s="5" t="inlineStr">
        <is>
          <t>世紀行館</t>
        </is>
      </c>
      <c r="H489" s="5" t="inlineStr"/>
      <c r="I489" s="5" t="inlineStr">
        <is>
          <t>92戶</t>
        </is>
      </c>
      <c r="J489" s="5" t="inlineStr">
        <is>
          <t>28-37坪</t>
        </is>
      </c>
      <c r="K489" s="5" t="inlineStr">
        <is>
          <t>68.89萬/坪</t>
        </is>
      </c>
      <c r="L489" s="5" t="inlineStr"/>
      <c r="M489" s="5" t="inlineStr">
        <is>
          <t>已完工</t>
        </is>
      </c>
      <c r="N489" s="5" t="inlineStr">
        <is>
          <t>L3</t>
        </is>
      </c>
      <c r="O489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0">
      <c r="A490" s="5" t="n">
        <v>489</v>
      </c>
      <c r="B490" s="5" t="inlineStr">
        <is>
          <t>新竹縣</t>
        </is>
      </c>
      <c r="C490" s="5" t="inlineStr">
        <is>
          <t>A21008</t>
        </is>
      </c>
      <c r="D490" s="5" t="inlineStr">
        <is>
          <t>hsinchu-county</t>
        </is>
      </c>
      <c r="E490" s="5" t="inlineStr">
        <is>
          <t>竹北多期公辦重劃</t>
        </is>
      </c>
      <c r="F490" s="5" t="inlineStr">
        <is>
          <t>公辦市地重劃</t>
        </is>
      </c>
      <c r="G490" s="5" t="inlineStr">
        <is>
          <t>城心苑2</t>
        </is>
      </c>
      <c r="H490" s="5" t="inlineStr"/>
      <c r="I490" s="5" t="inlineStr">
        <is>
          <t>14戶</t>
        </is>
      </c>
      <c r="J490" s="5" t="inlineStr">
        <is>
          <t>28-39坪</t>
        </is>
      </c>
      <c r="K490" s="5" t="inlineStr">
        <is>
          <t>75萬/坪</t>
        </is>
      </c>
      <c r="L490" s="5" t="inlineStr"/>
      <c r="M490" s="5" t="inlineStr">
        <is>
          <t>已完工</t>
        </is>
      </c>
      <c r="N490" s="5" t="inlineStr">
        <is>
          <t>L3</t>
        </is>
      </c>
      <c r="O490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1">
      <c r="A491" s="5" t="n">
        <v>490</v>
      </c>
      <c r="B491" s="5" t="inlineStr">
        <is>
          <t>新竹縣</t>
        </is>
      </c>
      <c r="C491" s="5" t="inlineStr">
        <is>
          <t>A21008</t>
        </is>
      </c>
      <c r="D491" s="5" t="inlineStr">
        <is>
          <t>hsinchu-county</t>
        </is>
      </c>
      <c r="E491" s="5" t="inlineStr">
        <is>
          <t>竹北多期公辦重劃</t>
        </is>
      </c>
      <c r="F491" s="5" t="inlineStr">
        <is>
          <t>公辦市地重劃</t>
        </is>
      </c>
      <c r="G491" s="5" t="inlineStr">
        <is>
          <t>富宇森之樹</t>
        </is>
      </c>
      <c r="H491" s="5" t="inlineStr">
        <is>
          <t>富宇建設</t>
        </is>
      </c>
      <c r="I491" s="5" t="inlineStr">
        <is>
          <t>252戶</t>
        </is>
      </c>
      <c r="J491" s="5" t="inlineStr">
        <is>
          <t>34-40坪</t>
        </is>
      </c>
      <c r="K491" s="5" t="inlineStr">
        <is>
          <t>86.20萬/坪</t>
        </is>
      </c>
      <c r="L491" s="5" t="inlineStr">
        <is>
          <t>2026</t>
        </is>
      </c>
      <c r="M491" s="5" t="inlineStr">
        <is>
          <t>預售</t>
        </is>
      </c>
      <c r="N491" s="5" t="inlineStr">
        <is>
          <t>L3</t>
        </is>
      </c>
      <c r="O491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2">
      <c r="A492" s="5" t="n">
        <v>491</v>
      </c>
      <c r="B492" s="5" t="inlineStr">
        <is>
          <t>新竹縣</t>
        </is>
      </c>
      <c r="C492" s="5" t="inlineStr">
        <is>
          <t>A21008</t>
        </is>
      </c>
      <c r="D492" s="5" t="inlineStr">
        <is>
          <t>hsinchu-county</t>
        </is>
      </c>
      <c r="E492" s="5" t="inlineStr">
        <is>
          <t>竹北多期公辦重劃</t>
        </is>
      </c>
      <c r="F492" s="5" t="inlineStr">
        <is>
          <t>公辦市地重劃</t>
        </is>
      </c>
      <c r="G492" s="5" t="inlineStr">
        <is>
          <t>竹風真好QMAX</t>
        </is>
      </c>
      <c r="H492" s="5" t="inlineStr"/>
      <c r="I492" s="5" t="inlineStr">
        <is>
          <t>320戶</t>
        </is>
      </c>
      <c r="J492" s="5" t="inlineStr">
        <is>
          <t>30-40坪</t>
        </is>
      </c>
      <c r="K492" s="5" t="inlineStr">
        <is>
          <t>54萬/坪</t>
        </is>
      </c>
      <c r="L492" s="5" t="inlineStr">
        <is>
          <t>2026</t>
        </is>
      </c>
      <c r="M492" s="5" t="inlineStr">
        <is>
          <t>預售</t>
        </is>
      </c>
      <c r="N492" s="5" t="inlineStr">
        <is>
          <t>L3</t>
        </is>
      </c>
      <c r="O492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3">
      <c r="A493" s="5" t="n">
        <v>492</v>
      </c>
      <c r="B493" s="5" t="inlineStr">
        <is>
          <t>新竹縣</t>
        </is>
      </c>
      <c r="C493" s="5" t="inlineStr">
        <is>
          <t>A21008</t>
        </is>
      </c>
      <c r="D493" s="5" t="inlineStr">
        <is>
          <t>hsinchu-county</t>
        </is>
      </c>
      <c r="E493" s="5" t="inlineStr">
        <is>
          <t>竹北多期公辦重劃</t>
        </is>
      </c>
      <c r="F493" s="5" t="inlineStr">
        <is>
          <t>公辦市地重劃</t>
        </is>
      </c>
      <c r="G493" s="5" t="inlineStr">
        <is>
          <t>國賓大悅</t>
        </is>
      </c>
      <c r="H493" s="5" t="inlineStr"/>
      <c r="I493" s="5" t="inlineStr">
        <is>
          <t>794戶</t>
        </is>
      </c>
      <c r="J493" s="5" t="inlineStr">
        <is>
          <t>25-82坪</t>
        </is>
      </c>
      <c r="K493" s="5" t="inlineStr">
        <is>
          <t>57.46萬/坪</t>
        </is>
      </c>
      <c r="L493" s="5" t="inlineStr"/>
      <c r="M493" s="5" t="inlineStr">
        <is>
          <t>已完工</t>
        </is>
      </c>
      <c r="N493" s="5" t="inlineStr">
        <is>
          <t>L3</t>
        </is>
      </c>
      <c r="O493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4">
      <c r="A494" s="5" t="n">
        <v>493</v>
      </c>
      <c r="B494" s="5" t="inlineStr">
        <is>
          <t>新竹縣</t>
        </is>
      </c>
      <c r="C494" s="5" t="inlineStr">
        <is>
          <t>A21008</t>
        </is>
      </c>
      <c r="D494" s="5" t="inlineStr">
        <is>
          <t>hsinchu-county</t>
        </is>
      </c>
      <c r="E494" s="5" t="inlineStr">
        <is>
          <t>竹北多期公辦重劃</t>
        </is>
      </c>
      <c r="F494" s="5" t="inlineStr">
        <is>
          <t>公辦市地重劃</t>
        </is>
      </c>
      <c r="G494" s="5" t="inlineStr">
        <is>
          <t>佳泰世紀城</t>
        </is>
      </c>
      <c r="H494" s="5" t="inlineStr"/>
      <c r="I494" s="5" t="inlineStr">
        <is>
          <t>319戶</t>
        </is>
      </c>
      <c r="J494" s="5" t="inlineStr">
        <is>
          <t>27-40坪</t>
        </is>
      </c>
      <c r="K494" s="5" t="inlineStr">
        <is>
          <t>52.74萬/坪</t>
        </is>
      </c>
      <c r="L494" s="5" t="inlineStr"/>
      <c r="M494" s="5" t="inlineStr">
        <is>
          <t>已完工</t>
        </is>
      </c>
      <c r="N494" s="5" t="inlineStr">
        <is>
          <t>L3</t>
        </is>
      </c>
      <c r="O494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5">
      <c r="A495" s="5" t="n">
        <v>494</v>
      </c>
      <c r="B495" s="5" t="inlineStr">
        <is>
          <t>新竹縣</t>
        </is>
      </c>
      <c r="C495" s="5" t="inlineStr">
        <is>
          <t>A21008</t>
        </is>
      </c>
      <c r="D495" s="5" t="inlineStr">
        <is>
          <t>hsinchu-county</t>
        </is>
      </c>
      <c r="E495" s="5" t="inlineStr">
        <is>
          <t>竹北多期公辦重劃</t>
        </is>
      </c>
      <c r="F495" s="5" t="inlineStr">
        <is>
          <t>公辦市地重劃</t>
        </is>
      </c>
      <c r="G495" s="5" t="inlineStr">
        <is>
          <t>富宇天空樹</t>
        </is>
      </c>
      <c r="H495" s="5" t="inlineStr">
        <is>
          <t>富宇建設</t>
        </is>
      </c>
      <c r="I495" s="5" t="inlineStr">
        <is>
          <t>108戶</t>
        </is>
      </c>
      <c r="J495" s="5" t="inlineStr">
        <is>
          <t>40-50坪</t>
        </is>
      </c>
      <c r="K495" s="5" t="inlineStr">
        <is>
          <t>66.48萬/坪</t>
        </is>
      </c>
      <c r="L495" s="5" t="inlineStr"/>
      <c r="M495" s="5" t="inlineStr">
        <is>
          <t>已完工</t>
        </is>
      </c>
      <c r="N495" s="5" t="inlineStr">
        <is>
          <t>L3</t>
        </is>
      </c>
      <c r="O495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6">
      <c r="A496" s="5" t="n">
        <v>495</v>
      </c>
      <c r="B496" s="5" t="inlineStr">
        <is>
          <t>新竹縣</t>
        </is>
      </c>
      <c r="C496" s="5" t="inlineStr">
        <is>
          <t>A21008</t>
        </is>
      </c>
      <c r="D496" s="5" t="inlineStr">
        <is>
          <t>hsinchu-county</t>
        </is>
      </c>
      <c r="E496" s="5" t="inlineStr">
        <is>
          <t>竹北多期公辦重劃</t>
        </is>
      </c>
      <c r="F496" s="5" t="inlineStr">
        <is>
          <t>公辦市地重劃</t>
        </is>
      </c>
      <c r="G496" s="5" t="inlineStr">
        <is>
          <t>靚公園</t>
        </is>
      </c>
      <c r="H496" s="5" t="inlineStr"/>
      <c r="I496" s="5" t="inlineStr">
        <is>
          <t>123戶</t>
        </is>
      </c>
      <c r="J496" s="5" t="inlineStr">
        <is>
          <t>27-53坪</t>
        </is>
      </c>
      <c r="K496" s="5" t="inlineStr">
        <is>
          <t>49.43萬/坪</t>
        </is>
      </c>
      <c r="L496" s="5" t="inlineStr"/>
      <c r="M496" s="5" t="inlineStr">
        <is>
          <t>已完工</t>
        </is>
      </c>
      <c r="N496" s="5" t="inlineStr">
        <is>
          <t>L3</t>
        </is>
      </c>
      <c r="O496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7">
      <c r="A497" s="5" t="n">
        <v>496</v>
      </c>
      <c r="B497" s="5" t="inlineStr">
        <is>
          <t>新竹縣</t>
        </is>
      </c>
      <c r="C497" s="5" t="inlineStr">
        <is>
          <t>A21008</t>
        </is>
      </c>
      <c r="D497" s="5" t="inlineStr">
        <is>
          <t>hsinchu-county</t>
        </is>
      </c>
      <c r="E497" s="5" t="inlineStr">
        <is>
          <t>竹北多期公辦重劃</t>
        </is>
      </c>
      <c r="F497" s="5" t="inlineStr">
        <is>
          <t>公辦市地重劃</t>
        </is>
      </c>
      <c r="G497" s="5" t="inlineStr">
        <is>
          <t>興希望</t>
        </is>
      </c>
      <c r="H497" s="5" t="inlineStr"/>
      <c r="I497" s="5" t="inlineStr">
        <is>
          <t>280戶</t>
        </is>
      </c>
      <c r="J497" s="5" t="inlineStr">
        <is>
          <t>25-43坪</t>
        </is>
      </c>
      <c r="K497" s="5" t="inlineStr">
        <is>
          <t>50.73萬/坪</t>
        </is>
      </c>
      <c r="L497" s="5" t="inlineStr"/>
      <c r="M497" s="5" t="inlineStr">
        <is>
          <t>已完工</t>
        </is>
      </c>
      <c r="N497" s="5" t="inlineStr">
        <is>
          <t>L3</t>
        </is>
      </c>
      <c r="O497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8">
      <c r="A498" s="5" t="n">
        <v>497</v>
      </c>
      <c r="B498" s="5" t="inlineStr">
        <is>
          <t>新竹縣</t>
        </is>
      </c>
      <c r="C498" s="5" t="inlineStr">
        <is>
          <t>A21008</t>
        </is>
      </c>
      <c r="D498" s="5" t="inlineStr">
        <is>
          <t>hsinchu-county</t>
        </is>
      </c>
      <c r="E498" s="5" t="inlineStr">
        <is>
          <t>竹北多期公辦重劃</t>
        </is>
      </c>
      <c r="F498" s="5" t="inlineStr">
        <is>
          <t>公辦市地重劃</t>
        </is>
      </c>
      <c r="G498" s="5" t="inlineStr">
        <is>
          <t>興築興時</t>
        </is>
      </c>
      <c r="H498" s="5" t="inlineStr"/>
      <c r="I498" s="5" t="inlineStr">
        <is>
          <t>513戶</t>
        </is>
      </c>
      <c r="J498" s="5" t="inlineStr">
        <is>
          <t>28-42坪</t>
        </is>
      </c>
      <c r="K498" s="5" t="inlineStr">
        <is>
          <t>56.08萬/坪</t>
        </is>
      </c>
      <c r="L498" s="5" t="inlineStr"/>
      <c r="M498" s="5" t="inlineStr">
        <is>
          <t>已完工</t>
        </is>
      </c>
      <c r="N498" s="5" t="inlineStr">
        <is>
          <t>L3</t>
        </is>
      </c>
      <c r="O498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9">
      <c r="A499" s="5" t="n">
        <v>498</v>
      </c>
      <c r="B499" s="5" t="inlineStr">
        <is>
          <t>新竹縣</t>
        </is>
      </c>
      <c r="C499" s="5" t="inlineStr">
        <is>
          <t>A21008</t>
        </is>
      </c>
      <c r="D499" s="5" t="inlineStr">
        <is>
          <t>hsinchu-county</t>
        </is>
      </c>
      <c r="E499" s="5" t="inlineStr">
        <is>
          <t>竹北多期公辦重劃</t>
        </is>
      </c>
      <c r="F499" s="5" t="inlineStr">
        <is>
          <t>公辦市地重劃</t>
        </is>
      </c>
      <c r="G499" s="5" t="inlineStr">
        <is>
          <t>竹風樹海</t>
        </is>
      </c>
      <c r="H499" s="5" t="inlineStr"/>
      <c r="I499" s="5" t="inlineStr">
        <is>
          <t>116戶</t>
        </is>
      </c>
      <c r="J499" s="5" t="inlineStr">
        <is>
          <t>33-50坪</t>
        </is>
      </c>
      <c r="K499" s="5" t="inlineStr">
        <is>
          <t>76.53萬/坪</t>
        </is>
      </c>
      <c r="L499" s="5" t="inlineStr"/>
      <c r="M499" s="5" t="inlineStr">
        <is>
          <t>已完工</t>
        </is>
      </c>
      <c r="N499" s="5" t="inlineStr">
        <is>
          <t>L3</t>
        </is>
      </c>
      <c r="O499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500">
      <c r="A500" s="5" t="n">
        <v>499</v>
      </c>
      <c r="B500" s="5" t="inlineStr">
        <is>
          <t>新竹縣</t>
        </is>
      </c>
      <c r="C500" s="5" t="inlineStr">
        <is>
          <t>A21008</t>
        </is>
      </c>
      <c r="D500" s="5" t="inlineStr">
        <is>
          <t>hsinchu-county</t>
        </is>
      </c>
      <c r="E500" s="5" t="inlineStr">
        <is>
          <t>竹北多期公辦重劃</t>
        </is>
      </c>
      <c r="F500" s="5" t="inlineStr">
        <is>
          <t>公辦市地重劃</t>
        </is>
      </c>
      <c r="G500" s="5" t="inlineStr">
        <is>
          <t>富宇御琚</t>
        </is>
      </c>
      <c r="H500" s="5" t="inlineStr">
        <is>
          <t>富宇建設</t>
        </is>
      </c>
      <c r="I500" s="5" t="inlineStr">
        <is>
          <t>105戶</t>
        </is>
      </c>
      <c r="J500" s="5" t="inlineStr">
        <is>
          <t>27-40坪</t>
        </is>
      </c>
      <c r="K500" s="5" t="inlineStr">
        <is>
          <t>70.47萬/坪</t>
        </is>
      </c>
      <c r="L500" s="5" t="inlineStr"/>
      <c r="M500" s="5" t="inlineStr">
        <is>
          <t>已完工</t>
        </is>
      </c>
      <c r="N500" s="5" t="inlineStr">
        <is>
          <t>L3</t>
        </is>
      </c>
      <c r="O500" s="5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501">
      <c r="A501" s="5" t="n">
        <v>500</v>
      </c>
      <c r="B501" s="5" t="inlineStr">
        <is>
          <t>新竹縣</t>
        </is>
      </c>
      <c r="C501" s="5" t="inlineStr">
        <is>
          <t>A21008</t>
        </is>
      </c>
      <c r="D501" s="5" t="inlineStr">
        <is>
          <t>hsinchu-county</t>
        </is>
      </c>
      <c r="E501" s="5" t="inlineStr">
        <is>
          <t>湖口公辦重劃</t>
        </is>
      </c>
      <c r="F501" s="5" t="inlineStr">
        <is>
          <t>公辦市地重劃</t>
        </is>
      </c>
      <c r="G501" s="5" t="inlineStr">
        <is>
          <t>富旺耀時代VILLA</t>
        </is>
      </c>
      <c r="H501" s="5" t="inlineStr">
        <is>
          <t>富旺國際開發</t>
        </is>
      </c>
      <c r="I501" s="5" t="inlineStr"/>
      <c r="J501" s="5" t="inlineStr">
        <is>
          <t>37-50坪(建坪)</t>
        </is>
      </c>
      <c r="K501" s="5" t="inlineStr">
        <is>
          <t>1468-1900萬/戶</t>
        </is>
      </c>
      <c r="L501" s="5" t="inlineStr">
        <is>
          <t>2026</t>
        </is>
      </c>
      <c r="M501" s="5" t="inlineStr">
        <is>
          <t>預售</t>
        </is>
      </c>
      <c r="N501" s="5" t="inlineStr">
        <is>
          <t>L3</t>
        </is>
      </c>
      <c r="O501" s="5" t="inlineStr">
        <is>
          <t>https://newhouse.591.com.tw/137317</t>
        </is>
      </c>
    </row>
    <row r="502">
      <c r="A502" s="5" t="n">
        <v>501</v>
      </c>
      <c r="B502" s="5" t="inlineStr">
        <is>
          <t>新竹縣</t>
        </is>
      </c>
      <c r="C502" s="5" t="inlineStr">
        <is>
          <t>A21008</t>
        </is>
      </c>
      <c r="D502" s="5" t="inlineStr">
        <is>
          <t>hsinchu-county</t>
        </is>
      </c>
      <c r="E502" s="5" t="inlineStr">
        <is>
          <t>湖口公辦重劃</t>
        </is>
      </c>
      <c r="F502" s="5" t="inlineStr">
        <is>
          <t>公辦市地重劃</t>
        </is>
      </c>
      <c r="G502" s="5" t="inlineStr">
        <is>
          <t>富旺新時代</t>
        </is>
      </c>
      <c r="H502" s="5" t="inlineStr">
        <is>
          <t>富旺國際開發</t>
        </is>
      </c>
      <c r="I502" s="5" t="inlineStr"/>
      <c r="J502" s="5" t="inlineStr">
        <is>
          <t>33-42坪(建坪)</t>
        </is>
      </c>
      <c r="K502" s="5" t="inlineStr"/>
      <c r="L502" s="5" t="inlineStr"/>
      <c r="M502" s="5" t="inlineStr">
        <is>
          <t>銷售中</t>
        </is>
      </c>
      <c r="N502" s="5" t="inlineStr">
        <is>
          <t>L3</t>
        </is>
      </c>
      <c r="O502" s="5" t="inlineStr">
        <is>
          <t>https://hsinchu.housetube.tw/37280</t>
        </is>
      </c>
    </row>
    <row r="503">
      <c r="A503" s="5" t="n">
        <v>502</v>
      </c>
      <c r="B503" s="5" t="inlineStr">
        <is>
          <t>新竹縣</t>
        </is>
      </c>
      <c r="C503" s="5" t="inlineStr">
        <is>
          <t>A21008</t>
        </is>
      </c>
      <c r="D503" s="5" t="inlineStr">
        <is>
          <t>hsinchu-county</t>
        </is>
      </c>
      <c r="E503" s="5" t="inlineStr">
        <is>
          <t>湖口公辦重劃</t>
        </is>
      </c>
      <c r="F503" s="5" t="inlineStr">
        <is>
          <t>公辦市地重劃</t>
        </is>
      </c>
      <c r="G503" s="5" t="inlineStr">
        <is>
          <t>森活家</t>
        </is>
      </c>
      <c r="H503" s="5" t="inlineStr">
        <is>
          <t>日盛建設</t>
        </is>
      </c>
      <c r="I503" s="5" t="inlineStr"/>
      <c r="J503" s="5" t="inlineStr">
        <is>
          <t>26坪起</t>
        </is>
      </c>
      <c r="K503" s="5" t="inlineStr"/>
      <c r="L503" s="5" t="inlineStr"/>
      <c r="M503" s="5" t="inlineStr">
        <is>
          <t>銷售中</t>
        </is>
      </c>
      <c r="N503" s="5" t="inlineStr">
        <is>
          <t>L3</t>
        </is>
      </c>
      <c r="O503" s="5" t="inlineStr">
        <is>
          <t>https://hsinchu.housetube.tw/9457</t>
        </is>
      </c>
    </row>
    <row r="504">
      <c r="A504" s="5" t="n">
        <v>503</v>
      </c>
      <c r="B504" s="5" t="inlineStr">
        <is>
          <t>新竹縣</t>
        </is>
      </c>
      <c r="C504" s="5" t="inlineStr">
        <is>
          <t>A21008</t>
        </is>
      </c>
      <c r="D504" s="5" t="inlineStr">
        <is>
          <t>hsinchu-county</t>
        </is>
      </c>
      <c r="E504" s="5" t="inlineStr">
        <is>
          <t>湖口公辦重劃</t>
        </is>
      </c>
      <c r="F504" s="5" t="inlineStr">
        <is>
          <t>公辦市地重劃</t>
        </is>
      </c>
      <c r="G504" s="5" t="inlineStr">
        <is>
          <t>百麗豐禾</t>
        </is>
      </c>
      <c r="H504" s="5" t="inlineStr">
        <is>
          <t>百麗建設</t>
        </is>
      </c>
      <c r="I504" s="5" t="inlineStr"/>
      <c r="J504" s="5" t="inlineStr">
        <is>
          <t>53-72坪(建坪)</t>
        </is>
      </c>
      <c r="K504" s="5" t="inlineStr"/>
      <c r="L504" s="5" t="inlineStr"/>
      <c r="M504" s="5" t="inlineStr">
        <is>
          <t>銷售中</t>
        </is>
      </c>
      <c r="N504" s="5" t="inlineStr">
        <is>
          <t>L3</t>
        </is>
      </c>
      <c r="O504" s="5" t="inlineStr">
        <is>
          <t>https://hsinchu.housetube.tw/39383</t>
        </is>
      </c>
    </row>
    <row r="505">
      <c r="A505" s="5" t="n">
        <v>504</v>
      </c>
      <c r="B505" s="5" t="inlineStr">
        <is>
          <t>新竹縣</t>
        </is>
      </c>
      <c r="C505" s="5" t="inlineStr">
        <is>
          <t>A21008</t>
        </is>
      </c>
      <c r="D505" s="5" t="inlineStr">
        <is>
          <t>hsinchu-county</t>
        </is>
      </c>
      <c r="E505" s="5" t="inlineStr">
        <is>
          <t>湖口公辦重劃</t>
        </is>
      </c>
      <c r="F505" s="5" t="inlineStr">
        <is>
          <t>公辦市地重劃</t>
        </is>
      </c>
      <c r="G505" s="5" t="inlineStr">
        <is>
          <t>文小馥境</t>
        </is>
      </c>
      <c r="H505" s="5" t="inlineStr">
        <is>
          <t>駿騰開發建設</t>
        </is>
      </c>
      <c r="I505" s="5" t="inlineStr">
        <is>
          <t>7戶</t>
        </is>
      </c>
      <c r="J505" s="5" t="inlineStr">
        <is>
          <t>53.9坪起</t>
        </is>
      </c>
      <c r="K505" s="5" t="inlineStr"/>
      <c r="L505" s="5" t="inlineStr"/>
      <c r="M505" s="5" t="inlineStr">
        <is>
          <t>銷售中</t>
        </is>
      </c>
      <c r="N505" s="5" t="inlineStr">
        <is>
          <t>L3</t>
        </is>
      </c>
      <c r="O505" s="5" t="inlineStr">
        <is>
          <t>https://hsinchu.housetube.tw/28393</t>
        </is>
      </c>
    </row>
    <row r="506">
      <c r="A506" s="5" t="n">
        <v>505</v>
      </c>
      <c r="B506" s="5" t="inlineStr">
        <is>
          <t>新竹縣</t>
        </is>
      </c>
      <c r="C506" s="5" t="inlineStr">
        <is>
          <t>A21008</t>
        </is>
      </c>
      <c r="D506" s="5" t="inlineStr">
        <is>
          <t>hsinchu-county</t>
        </is>
      </c>
      <c r="E506" s="5" t="inlineStr">
        <is>
          <t>湖口公辦重劃</t>
        </is>
      </c>
      <c r="F506" s="5" t="inlineStr">
        <is>
          <t>公辦市地重劃</t>
        </is>
      </c>
      <c r="G506" s="5" t="inlineStr">
        <is>
          <t>吾疆心天畝</t>
        </is>
      </c>
      <c r="H506" s="5" t="inlineStr">
        <is>
          <t>祥晟開發</t>
        </is>
      </c>
      <c r="I506" s="5" t="inlineStr"/>
      <c r="J506" s="5" t="inlineStr">
        <is>
          <t>56-88坪</t>
        </is>
      </c>
      <c r="K506" s="5" t="inlineStr"/>
      <c r="L506" s="5" t="inlineStr"/>
      <c r="M506" s="5" t="inlineStr">
        <is>
          <t>銷售中</t>
        </is>
      </c>
      <c r="N506" s="5" t="inlineStr">
        <is>
          <t>L3</t>
        </is>
      </c>
      <c r="O506" s="5" t="inlineStr">
        <is>
          <t>https://hsinchu.housetube.tw/27623</t>
        </is>
      </c>
    </row>
    <row r="507">
      <c r="A507" s="5" t="n">
        <v>506</v>
      </c>
      <c r="B507" s="5" t="inlineStr">
        <is>
          <t>新竹縣</t>
        </is>
      </c>
      <c r="C507" s="5" t="inlineStr">
        <is>
          <t>A21008</t>
        </is>
      </c>
      <c r="D507" s="5" t="inlineStr">
        <is>
          <t>hsinchu-county</t>
        </is>
      </c>
      <c r="E507" s="5" t="inlineStr">
        <is>
          <t>竹北高鐵特區</t>
        </is>
      </c>
      <c r="F507" s="5" t="inlineStr">
        <is>
          <t>區段徵收</t>
        </is>
      </c>
      <c r="G507" s="5" t="inlineStr">
        <is>
          <t>中悅一品花園</t>
        </is>
      </c>
      <c r="H507" s="5" t="inlineStr"/>
      <c r="I507" s="5" t="inlineStr">
        <is>
          <t>85戶</t>
        </is>
      </c>
      <c r="J507" s="5" t="inlineStr">
        <is>
          <t>115-141坪</t>
        </is>
      </c>
      <c r="K507" s="5" t="inlineStr">
        <is>
          <t>61.27萬/坪</t>
        </is>
      </c>
      <c r="L507" s="5" t="inlineStr"/>
      <c r="M507" s="5" t="inlineStr">
        <is>
          <t>已完工</t>
        </is>
      </c>
      <c r="N507" s="5" t="inlineStr">
        <is>
          <t>L3</t>
        </is>
      </c>
      <c r="O507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08">
      <c r="A508" s="5" t="n">
        <v>507</v>
      </c>
      <c r="B508" s="5" t="inlineStr">
        <is>
          <t>新竹縣</t>
        </is>
      </c>
      <c r="C508" s="5" t="inlineStr">
        <is>
          <t>A21008</t>
        </is>
      </c>
      <c r="D508" s="5" t="inlineStr">
        <is>
          <t>hsinchu-county</t>
        </is>
      </c>
      <c r="E508" s="5" t="inlineStr">
        <is>
          <t>竹北高鐵特區</t>
        </is>
      </c>
      <c r="F508" s="5" t="inlineStr">
        <is>
          <t>區段徵收</t>
        </is>
      </c>
      <c r="G508" s="5" t="inlineStr">
        <is>
          <t>合石源源</t>
        </is>
      </c>
      <c r="H508" s="5" t="inlineStr">
        <is>
          <t>合石建設</t>
        </is>
      </c>
      <c r="I508" s="5" t="inlineStr">
        <is>
          <t>52戶</t>
        </is>
      </c>
      <c r="J508" s="5" t="inlineStr">
        <is>
          <t>45-52坪</t>
        </is>
      </c>
      <c r="K508" s="5" t="inlineStr">
        <is>
          <t>70.67萬/坪</t>
        </is>
      </c>
      <c r="L508" s="5" t="inlineStr"/>
      <c r="M508" s="5" t="inlineStr">
        <is>
          <t>已完工</t>
        </is>
      </c>
      <c r="N508" s="5" t="inlineStr">
        <is>
          <t>L3</t>
        </is>
      </c>
      <c r="O508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09">
      <c r="A509" s="5" t="n">
        <v>508</v>
      </c>
      <c r="B509" s="5" t="inlineStr">
        <is>
          <t>新竹縣</t>
        </is>
      </c>
      <c r="C509" s="5" t="inlineStr">
        <is>
          <t>A21008</t>
        </is>
      </c>
      <c r="D509" s="5" t="inlineStr">
        <is>
          <t>hsinchu-county</t>
        </is>
      </c>
      <c r="E509" s="5" t="inlineStr">
        <is>
          <t>竹北高鐵特區</t>
        </is>
      </c>
      <c r="F509" s="5" t="inlineStr">
        <is>
          <t>區段徵收</t>
        </is>
      </c>
      <c r="G509" s="5" t="inlineStr">
        <is>
          <t>鴻築竹科滙</t>
        </is>
      </c>
      <c r="H509" s="5" t="inlineStr"/>
      <c r="I509" s="5" t="inlineStr">
        <is>
          <t>330戶</t>
        </is>
      </c>
      <c r="J509" s="5" t="inlineStr">
        <is>
          <t>25-48坪</t>
        </is>
      </c>
      <c r="K509" s="5" t="inlineStr">
        <is>
          <t>63.33萬/坪</t>
        </is>
      </c>
      <c r="L509" s="5" t="inlineStr"/>
      <c r="M509" s="5" t="inlineStr">
        <is>
          <t>已完工</t>
        </is>
      </c>
      <c r="N509" s="5" t="inlineStr">
        <is>
          <t>L3</t>
        </is>
      </c>
      <c r="O509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0">
      <c r="A510" s="5" t="n">
        <v>509</v>
      </c>
      <c r="B510" s="5" t="inlineStr">
        <is>
          <t>新竹縣</t>
        </is>
      </c>
      <c r="C510" s="5" t="inlineStr">
        <is>
          <t>A21008</t>
        </is>
      </c>
      <c r="D510" s="5" t="inlineStr">
        <is>
          <t>hsinchu-county</t>
        </is>
      </c>
      <c r="E510" s="5" t="inlineStr">
        <is>
          <t>竹北高鐵特區</t>
        </is>
      </c>
      <c r="F510" s="5" t="inlineStr">
        <is>
          <t>區段徵收</t>
        </is>
      </c>
      <c r="G510" s="5" t="inlineStr">
        <is>
          <t>坤山央央</t>
        </is>
      </c>
      <c r="H510" s="5" t="inlineStr">
        <is>
          <t>坤山建設</t>
        </is>
      </c>
      <c r="I510" s="5" t="inlineStr">
        <is>
          <t>108戶</t>
        </is>
      </c>
      <c r="J510" s="5" t="inlineStr">
        <is>
          <t>55-72坪</t>
        </is>
      </c>
      <c r="K510" s="5" t="inlineStr">
        <is>
          <t>86.40萬/坪</t>
        </is>
      </c>
      <c r="L510" s="5" t="inlineStr"/>
      <c r="M510" s="5" t="inlineStr">
        <is>
          <t>已完工</t>
        </is>
      </c>
      <c r="N510" s="5" t="inlineStr">
        <is>
          <t>L3</t>
        </is>
      </c>
      <c r="O510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1">
      <c r="A511" s="5" t="n">
        <v>510</v>
      </c>
      <c r="B511" s="5" t="inlineStr">
        <is>
          <t>新竹縣</t>
        </is>
      </c>
      <c r="C511" s="5" t="inlineStr">
        <is>
          <t>A21008</t>
        </is>
      </c>
      <c r="D511" s="5" t="inlineStr">
        <is>
          <t>hsinchu-county</t>
        </is>
      </c>
      <c r="E511" s="5" t="inlineStr">
        <is>
          <t>竹北高鐵特區</t>
        </is>
      </c>
      <c r="F511" s="5" t="inlineStr">
        <is>
          <t>區段徵收</t>
        </is>
      </c>
      <c r="G511" s="5" t="inlineStr">
        <is>
          <t>和發一森峰</t>
        </is>
      </c>
      <c r="H511" s="5" t="inlineStr"/>
      <c r="I511" s="5" t="inlineStr">
        <is>
          <t>130戶</t>
        </is>
      </c>
      <c r="J511" s="5" t="inlineStr">
        <is>
          <t>25-37坪</t>
        </is>
      </c>
      <c r="K511" s="5" t="inlineStr">
        <is>
          <t>78.65萬/坪</t>
        </is>
      </c>
      <c r="L511" s="5" t="inlineStr"/>
      <c r="M511" s="5" t="inlineStr">
        <is>
          <t>已完工</t>
        </is>
      </c>
      <c r="N511" s="5" t="inlineStr">
        <is>
          <t>L3</t>
        </is>
      </c>
      <c r="O511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2">
      <c r="A512" s="5" t="n">
        <v>511</v>
      </c>
      <c r="B512" s="5" t="inlineStr">
        <is>
          <t>新竹縣</t>
        </is>
      </c>
      <c r="C512" s="5" t="inlineStr">
        <is>
          <t>A21008</t>
        </is>
      </c>
      <c r="D512" s="5" t="inlineStr">
        <is>
          <t>hsinchu-county</t>
        </is>
      </c>
      <c r="E512" s="5" t="inlineStr">
        <is>
          <t>竹北高鐵特區</t>
        </is>
      </c>
      <c r="F512" s="5" t="inlineStr">
        <is>
          <t>區段徵收</t>
        </is>
      </c>
      <c r="G512" s="5" t="inlineStr">
        <is>
          <t>惠宇謙和</t>
        </is>
      </c>
      <c r="H512" s="5" t="inlineStr">
        <is>
          <t>惠宇建設</t>
        </is>
      </c>
      <c r="I512" s="5" t="inlineStr">
        <is>
          <t>251戶</t>
        </is>
      </c>
      <c r="J512" s="5" t="inlineStr"/>
      <c r="K512" s="5" t="inlineStr">
        <is>
          <t>99.50萬/坪</t>
        </is>
      </c>
      <c r="L512" s="5" t="inlineStr"/>
      <c r="M512" s="5" t="inlineStr">
        <is>
          <t>已完工</t>
        </is>
      </c>
      <c r="N512" s="5" t="inlineStr">
        <is>
          <t>L3</t>
        </is>
      </c>
      <c r="O512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3">
      <c r="A513" s="5" t="n">
        <v>512</v>
      </c>
      <c r="B513" s="5" t="inlineStr">
        <is>
          <t>新竹縣</t>
        </is>
      </c>
      <c r="C513" s="5" t="inlineStr">
        <is>
          <t>A21008</t>
        </is>
      </c>
      <c r="D513" s="5" t="inlineStr">
        <is>
          <t>hsinchu-county</t>
        </is>
      </c>
      <c r="E513" s="5" t="inlineStr">
        <is>
          <t>竹北高鐵特區</t>
        </is>
      </c>
      <c r="F513" s="5" t="inlineStr">
        <is>
          <t>區段徵收</t>
        </is>
      </c>
      <c r="G513" s="5" t="inlineStr">
        <is>
          <t>大硯urban15</t>
        </is>
      </c>
      <c r="H513" s="5" t="inlineStr">
        <is>
          <t>大硯建設</t>
        </is>
      </c>
      <c r="I513" s="5" t="inlineStr">
        <is>
          <t>46戶</t>
        </is>
      </c>
      <c r="J513" s="5" t="inlineStr">
        <is>
          <t>55-65坪</t>
        </is>
      </c>
      <c r="K513" s="5" t="inlineStr">
        <is>
          <t>48.59萬/坪</t>
        </is>
      </c>
      <c r="L513" s="5" t="inlineStr"/>
      <c r="M513" s="5" t="inlineStr">
        <is>
          <t>已完工</t>
        </is>
      </c>
      <c r="N513" s="5" t="inlineStr">
        <is>
          <t>L3</t>
        </is>
      </c>
      <c r="O513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4">
      <c r="A514" s="5" t="n">
        <v>513</v>
      </c>
      <c r="B514" s="5" t="inlineStr">
        <is>
          <t>新竹縣</t>
        </is>
      </c>
      <c r="C514" s="5" t="inlineStr">
        <is>
          <t>A21008</t>
        </is>
      </c>
      <c r="D514" s="5" t="inlineStr">
        <is>
          <t>hsinchu-county</t>
        </is>
      </c>
      <c r="E514" s="5" t="inlineStr">
        <is>
          <t>竹北高鐵特區</t>
        </is>
      </c>
      <c r="F514" s="5" t="inlineStr">
        <is>
          <t>區段徵收</t>
        </is>
      </c>
      <c r="G514" s="5" t="inlineStr">
        <is>
          <t>合石如馥</t>
        </is>
      </c>
      <c r="H514" s="5" t="inlineStr">
        <is>
          <t>合石建設</t>
        </is>
      </c>
      <c r="I514" s="5" t="inlineStr">
        <is>
          <t>42戶</t>
        </is>
      </c>
      <c r="J514" s="5" t="inlineStr">
        <is>
          <t>62-65坪</t>
        </is>
      </c>
      <c r="K514" s="5" t="inlineStr">
        <is>
          <t>82.96萬/坪</t>
        </is>
      </c>
      <c r="L514" s="5" t="inlineStr"/>
      <c r="M514" s="5" t="inlineStr">
        <is>
          <t>已完工</t>
        </is>
      </c>
      <c r="N514" s="5" t="inlineStr">
        <is>
          <t>L3</t>
        </is>
      </c>
      <c r="O514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5">
      <c r="A515" s="5" t="n">
        <v>514</v>
      </c>
      <c r="B515" s="5" t="inlineStr">
        <is>
          <t>新竹縣</t>
        </is>
      </c>
      <c r="C515" s="5" t="inlineStr">
        <is>
          <t>A21008</t>
        </is>
      </c>
      <c r="D515" s="5" t="inlineStr">
        <is>
          <t>hsinchu-county</t>
        </is>
      </c>
      <c r="E515" s="5" t="inlineStr">
        <is>
          <t>竹北高鐵特區</t>
        </is>
      </c>
      <c r="F515" s="5" t="inlineStr">
        <is>
          <t>區段徵收</t>
        </is>
      </c>
      <c r="G515" s="5" t="inlineStr">
        <is>
          <t>昇益馥御</t>
        </is>
      </c>
      <c r="H515" s="5" t="inlineStr"/>
      <c r="I515" s="5" t="inlineStr">
        <is>
          <t>33戶</t>
        </is>
      </c>
      <c r="J515" s="5" t="inlineStr">
        <is>
          <t>38-43坪</t>
        </is>
      </c>
      <c r="K515" s="5" t="inlineStr">
        <is>
          <t>81.37萬/坪</t>
        </is>
      </c>
      <c r="L515" s="5" t="inlineStr"/>
      <c r="M515" s="5" t="inlineStr">
        <is>
          <t>已完工</t>
        </is>
      </c>
      <c r="N515" s="5" t="inlineStr">
        <is>
          <t>L3</t>
        </is>
      </c>
      <c r="O515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6">
      <c r="A516" s="5" t="n">
        <v>515</v>
      </c>
      <c r="B516" s="5" t="inlineStr">
        <is>
          <t>新竹縣</t>
        </is>
      </c>
      <c r="C516" s="5" t="inlineStr">
        <is>
          <t>A21008</t>
        </is>
      </c>
      <c r="D516" s="5" t="inlineStr">
        <is>
          <t>hsinchu-county</t>
        </is>
      </c>
      <c r="E516" s="5" t="inlineStr">
        <is>
          <t>竹北高鐵特區</t>
        </is>
      </c>
      <c r="F516" s="5" t="inlineStr">
        <is>
          <t>區段徵收</t>
        </is>
      </c>
      <c r="G516" s="5" t="inlineStr">
        <is>
          <t>浩瀚豐邑之森</t>
        </is>
      </c>
      <c r="H516" s="5" t="inlineStr"/>
      <c r="I516" s="5" t="inlineStr">
        <is>
          <t>64戶</t>
        </is>
      </c>
      <c r="J516" s="5" t="inlineStr">
        <is>
          <t>42-52坪</t>
        </is>
      </c>
      <c r="K516" s="5" t="inlineStr">
        <is>
          <t>75.40萬/坪</t>
        </is>
      </c>
      <c r="L516" s="5" t="inlineStr"/>
      <c r="M516" s="5" t="inlineStr">
        <is>
          <t>交屋中</t>
        </is>
      </c>
      <c r="N516" s="5" t="inlineStr">
        <is>
          <t>L3</t>
        </is>
      </c>
      <c r="O516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7">
      <c r="A517" s="5" t="n">
        <v>516</v>
      </c>
      <c r="B517" s="5" t="inlineStr">
        <is>
          <t>新竹縣</t>
        </is>
      </c>
      <c r="C517" s="5" t="inlineStr">
        <is>
          <t>A21008</t>
        </is>
      </c>
      <c r="D517" s="5" t="inlineStr">
        <is>
          <t>hsinchu-county</t>
        </is>
      </c>
      <c r="E517" s="5" t="inlineStr">
        <is>
          <t>竹北高鐵特區</t>
        </is>
      </c>
      <c r="F517" s="5" t="inlineStr">
        <is>
          <t>區段徵收</t>
        </is>
      </c>
      <c r="G517" s="5" t="inlineStr">
        <is>
          <t>協勝大聚</t>
        </is>
      </c>
      <c r="H517" s="5" t="inlineStr"/>
      <c r="I517" s="5" t="inlineStr">
        <is>
          <t>121戶</t>
        </is>
      </c>
      <c r="J517" s="5" t="inlineStr">
        <is>
          <t>30-46坪</t>
        </is>
      </c>
      <c r="K517" s="5" t="inlineStr">
        <is>
          <t>86.01萬/坪</t>
        </is>
      </c>
      <c r="L517" s="5" t="inlineStr">
        <is>
          <t>2025</t>
        </is>
      </c>
      <c r="M517" s="5" t="inlineStr">
        <is>
          <t>預售</t>
        </is>
      </c>
      <c r="N517" s="5" t="inlineStr">
        <is>
          <t>L3</t>
        </is>
      </c>
      <c r="O517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8">
      <c r="A518" s="5" t="n">
        <v>517</v>
      </c>
      <c r="B518" s="5" t="inlineStr">
        <is>
          <t>新竹縣</t>
        </is>
      </c>
      <c r="C518" s="5" t="inlineStr">
        <is>
          <t>A21008</t>
        </is>
      </c>
      <c r="D518" s="5" t="inlineStr">
        <is>
          <t>hsinchu-county</t>
        </is>
      </c>
      <c r="E518" s="5" t="inlineStr">
        <is>
          <t>竹北高鐵特區</t>
        </is>
      </c>
      <c r="F518" s="5" t="inlineStr">
        <is>
          <t>區段徵收</t>
        </is>
      </c>
      <c r="G518" s="5" t="inlineStr">
        <is>
          <t>惠宇謙恆</t>
        </is>
      </c>
      <c r="H518" s="5" t="inlineStr">
        <is>
          <t>惠宇建設</t>
        </is>
      </c>
      <c r="I518" s="5" t="inlineStr">
        <is>
          <t>124戶</t>
        </is>
      </c>
      <c r="J518" s="5" t="inlineStr">
        <is>
          <t>40-55坪</t>
        </is>
      </c>
      <c r="K518" s="5" t="inlineStr">
        <is>
          <t>79.62萬/坪</t>
        </is>
      </c>
      <c r="L518" s="5" t="inlineStr">
        <is>
          <t>2025</t>
        </is>
      </c>
      <c r="M518" s="5" t="inlineStr">
        <is>
          <t>預售</t>
        </is>
      </c>
      <c r="N518" s="5" t="inlineStr">
        <is>
          <t>L3</t>
        </is>
      </c>
      <c r="O518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9">
      <c r="A519" s="5" t="n">
        <v>518</v>
      </c>
      <c r="B519" s="5" t="inlineStr">
        <is>
          <t>新竹縣</t>
        </is>
      </c>
      <c r="C519" s="5" t="inlineStr">
        <is>
          <t>A21008</t>
        </is>
      </c>
      <c r="D519" s="5" t="inlineStr">
        <is>
          <t>hsinchu-county</t>
        </is>
      </c>
      <c r="E519" s="5" t="inlineStr">
        <is>
          <t>竹北高鐵特區</t>
        </is>
      </c>
      <c r="F519" s="5" t="inlineStr">
        <is>
          <t>區段徵收</t>
        </is>
      </c>
      <c r="G519" s="5" t="inlineStr">
        <is>
          <t>富源豐岫</t>
        </is>
      </c>
      <c r="H519" s="5" t="inlineStr"/>
      <c r="I519" s="5" t="inlineStr">
        <is>
          <t>29戶</t>
        </is>
      </c>
      <c r="J519" s="5" t="inlineStr">
        <is>
          <t>56-88坪</t>
        </is>
      </c>
      <c r="K519" s="5" t="inlineStr">
        <is>
          <t>79.40萬/坪</t>
        </is>
      </c>
      <c r="L519" s="5" t="inlineStr">
        <is>
          <t>2026</t>
        </is>
      </c>
      <c r="M519" s="5" t="inlineStr">
        <is>
          <t>預售</t>
        </is>
      </c>
      <c r="N519" s="5" t="inlineStr">
        <is>
          <t>L3</t>
        </is>
      </c>
      <c r="O519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0">
      <c r="A520" s="5" t="n">
        <v>519</v>
      </c>
      <c r="B520" s="5" t="inlineStr">
        <is>
          <t>新竹縣</t>
        </is>
      </c>
      <c r="C520" s="5" t="inlineStr">
        <is>
          <t>A21008</t>
        </is>
      </c>
      <c r="D520" s="5" t="inlineStr">
        <is>
          <t>hsinchu-county</t>
        </is>
      </c>
      <c r="E520" s="5" t="inlineStr">
        <is>
          <t>竹北高鐵特區</t>
        </is>
      </c>
      <c r="F520" s="5" t="inlineStr">
        <is>
          <t>區段徵收</t>
        </is>
      </c>
      <c r="G520" s="5" t="inlineStr">
        <is>
          <t>合石MOON RIVER</t>
        </is>
      </c>
      <c r="H520" s="5" t="inlineStr">
        <is>
          <t>合石建設</t>
        </is>
      </c>
      <c r="I520" s="5" t="inlineStr">
        <is>
          <t>39戶</t>
        </is>
      </c>
      <c r="J520" s="5" t="inlineStr">
        <is>
          <t>51-57坪</t>
        </is>
      </c>
      <c r="K520" s="5" t="inlineStr">
        <is>
          <t>86.80萬/坪</t>
        </is>
      </c>
      <c r="L520" s="5" t="inlineStr">
        <is>
          <t>2027</t>
        </is>
      </c>
      <c r="M520" s="5" t="inlineStr">
        <is>
          <t>預售</t>
        </is>
      </c>
      <c r="N520" s="5" t="inlineStr">
        <is>
          <t>L3</t>
        </is>
      </c>
      <c r="O520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1">
      <c r="A521" s="5" t="n">
        <v>520</v>
      </c>
      <c r="B521" s="5" t="inlineStr">
        <is>
          <t>新竹縣</t>
        </is>
      </c>
      <c r="C521" s="5" t="inlineStr">
        <is>
          <t>A21008</t>
        </is>
      </c>
      <c r="D521" s="5" t="inlineStr">
        <is>
          <t>hsinchu-county</t>
        </is>
      </c>
      <c r="E521" s="5" t="inlineStr">
        <is>
          <t>竹北高鐵特區</t>
        </is>
      </c>
      <c r="F521" s="5" t="inlineStr">
        <is>
          <t>區段徵收</t>
        </is>
      </c>
      <c r="G521" s="5" t="inlineStr">
        <is>
          <t>山境Shan萃</t>
        </is>
      </c>
      <c r="H521" s="5" t="inlineStr"/>
      <c r="I521" s="5" t="inlineStr">
        <is>
          <t>19戶</t>
        </is>
      </c>
      <c r="J521" s="5" t="inlineStr">
        <is>
          <t>11-17坪</t>
        </is>
      </c>
      <c r="K521" s="5" t="inlineStr">
        <is>
          <t>82.08萬/坪</t>
        </is>
      </c>
      <c r="L521" s="5" t="inlineStr">
        <is>
          <t>2027</t>
        </is>
      </c>
      <c r="M521" s="5" t="inlineStr">
        <is>
          <t>預售</t>
        </is>
      </c>
      <c r="N521" s="5" t="inlineStr">
        <is>
          <t>L3</t>
        </is>
      </c>
      <c r="O521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2">
      <c r="A522" s="5" t="n">
        <v>521</v>
      </c>
      <c r="B522" s="5" t="inlineStr">
        <is>
          <t>新竹縣</t>
        </is>
      </c>
      <c r="C522" s="5" t="inlineStr">
        <is>
          <t>A21008</t>
        </is>
      </c>
      <c r="D522" s="5" t="inlineStr">
        <is>
          <t>hsinchu-county</t>
        </is>
      </c>
      <c r="E522" s="5" t="inlineStr">
        <is>
          <t>竹北高鐵特區</t>
        </is>
      </c>
      <c r="F522" s="5" t="inlineStr">
        <is>
          <t>區段徵收</t>
        </is>
      </c>
      <c r="G522" s="5" t="inlineStr">
        <is>
          <t>旭瑢禾砌</t>
        </is>
      </c>
      <c r="H522" s="5" t="inlineStr"/>
      <c r="I522" s="5" t="inlineStr">
        <is>
          <t>10戶</t>
        </is>
      </c>
      <c r="J522" s="5" t="inlineStr">
        <is>
          <t>22坪</t>
        </is>
      </c>
      <c r="K522" s="5" t="inlineStr">
        <is>
          <t>79.46萬/坪</t>
        </is>
      </c>
      <c r="L522" s="5" t="inlineStr">
        <is>
          <t>2027</t>
        </is>
      </c>
      <c r="M522" s="5" t="inlineStr">
        <is>
          <t>預售</t>
        </is>
      </c>
      <c r="N522" s="5" t="inlineStr">
        <is>
          <t>L3</t>
        </is>
      </c>
      <c r="O522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3">
      <c r="A523" s="5" t="n">
        <v>522</v>
      </c>
      <c r="B523" s="5" t="inlineStr">
        <is>
          <t>新竹縣</t>
        </is>
      </c>
      <c r="C523" s="5" t="inlineStr">
        <is>
          <t>A21008</t>
        </is>
      </c>
      <c r="D523" s="5" t="inlineStr">
        <is>
          <t>hsinchu-county</t>
        </is>
      </c>
      <c r="E523" s="5" t="inlineStr">
        <is>
          <t>竹北高鐵特區</t>
        </is>
      </c>
      <c r="F523" s="5" t="inlineStr">
        <is>
          <t>區段徵收</t>
        </is>
      </c>
      <c r="G523" s="5" t="inlineStr">
        <is>
          <t>浩瀚寬郁</t>
        </is>
      </c>
      <c r="H523" s="5" t="inlineStr"/>
      <c r="I523" s="5" t="inlineStr">
        <is>
          <t>123戶</t>
        </is>
      </c>
      <c r="J523" s="5" t="inlineStr">
        <is>
          <t>38-46坪</t>
        </is>
      </c>
      <c r="K523" s="5" t="inlineStr">
        <is>
          <t>89.48萬/坪</t>
        </is>
      </c>
      <c r="L523" s="5" t="inlineStr">
        <is>
          <t>2028</t>
        </is>
      </c>
      <c r="M523" s="5" t="inlineStr">
        <is>
          <t>預售</t>
        </is>
      </c>
      <c r="N523" s="5" t="inlineStr">
        <is>
          <t>L3</t>
        </is>
      </c>
      <c r="O523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4">
      <c r="A524" s="5" t="n">
        <v>523</v>
      </c>
      <c r="B524" s="5" t="inlineStr">
        <is>
          <t>新竹縣</t>
        </is>
      </c>
      <c r="C524" s="5" t="inlineStr">
        <is>
          <t>A21008</t>
        </is>
      </c>
      <c r="D524" s="5" t="inlineStr">
        <is>
          <t>hsinchu-county</t>
        </is>
      </c>
      <c r="E524" s="5" t="inlineStr">
        <is>
          <t>竹北高鐵特區</t>
        </is>
      </c>
      <c r="F524" s="5" t="inlineStr">
        <is>
          <t>區段徵收</t>
        </is>
      </c>
      <c r="G524" s="5" t="inlineStr">
        <is>
          <t>美邑初蘊</t>
        </is>
      </c>
      <c r="H524" s="5" t="inlineStr"/>
      <c r="I524" s="5" t="inlineStr">
        <is>
          <t>24戶</t>
        </is>
      </c>
      <c r="J524" s="5" t="inlineStr">
        <is>
          <t>22-45坪</t>
        </is>
      </c>
      <c r="K524" s="5" t="inlineStr">
        <is>
          <t>83.76萬/坪</t>
        </is>
      </c>
      <c r="L524" s="5" t="inlineStr">
        <is>
          <t>2028</t>
        </is>
      </c>
      <c r="M524" s="5" t="inlineStr">
        <is>
          <t>預售</t>
        </is>
      </c>
      <c r="N524" s="5" t="inlineStr">
        <is>
          <t>L3</t>
        </is>
      </c>
      <c r="O524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5">
      <c r="A525" s="5" t="n">
        <v>524</v>
      </c>
      <c r="B525" s="5" t="inlineStr">
        <is>
          <t>新竹縣</t>
        </is>
      </c>
      <c r="C525" s="5" t="inlineStr">
        <is>
          <t>A21008</t>
        </is>
      </c>
      <c r="D525" s="5" t="inlineStr">
        <is>
          <t>hsinchu-county</t>
        </is>
      </c>
      <c r="E525" s="5" t="inlineStr">
        <is>
          <t>竹北高鐵特區</t>
        </is>
      </c>
      <c r="F525" s="5" t="inlineStr">
        <is>
          <t>區段徵收</t>
        </is>
      </c>
      <c r="G525" s="5" t="inlineStr">
        <is>
          <t>緣璞學好</t>
        </is>
      </c>
      <c r="H525" s="5" t="inlineStr"/>
      <c r="I525" s="5" t="inlineStr">
        <is>
          <t>52戶</t>
        </is>
      </c>
      <c r="J525" s="5" t="inlineStr">
        <is>
          <t>41-47坪</t>
        </is>
      </c>
      <c r="K525" s="5" t="inlineStr">
        <is>
          <t>87.64萬/坪</t>
        </is>
      </c>
      <c r="L525" s="5" t="inlineStr">
        <is>
          <t>2030</t>
        </is>
      </c>
      <c r="M525" s="5" t="inlineStr">
        <is>
          <t>預售</t>
        </is>
      </c>
      <c r="N525" s="5" t="inlineStr">
        <is>
          <t>L3</t>
        </is>
      </c>
      <c r="O525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6">
      <c r="A526" s="5" t="n">
        <v>525</v>
      </c>
      <c r="B526" s="5" t="inlineStr">
        <is>
          <t>新竹縣</t>
        </is>
      </c>
      <c r="C526" s="5" t="inlineStr">
        <is>
          <t>A21008</t>
        </is>
      </c>
      <c r="D526" s="5" t="inlineStr">
        <is>
          <t>hsinchu-county</t>
        </is>
      </c>
      <c r="E526" s="5" t="inlineStr">
        <is>
          <t>竹北高鐵特區</t>
        </is>
      </c>
      <c r="F526" s="5" t="inlineStr">
        <is>
          <t>區段徵收</t>
        </is>
      </c>
      <c r="G526" s="5" t="inlineStr">
        <is>
          <t>鴻柏鴻湛</t>
        </is>
      </c>
      <c r="H526" s="5" t="inlineStr"/>
      <c r="I526" s="5" t="inlineStr">
        <is>
          <t>78戶</t>
        </is>
      </c>
      <c r="J526" s="5" t="inlineStr">
        <is>
          <t>25-35坪</t>
        </is>
      </c>
      <c r="K526" s="5" t="inlineStr">
        <is>
          <t>85.80萬/坪</t>
        </is>
      </c>
      <c r="L526" s="5" t="inlineStr">
        <is>
          <t>2031</t>
        </is>
      </c>
      <c r="M526" s="5" t="inlineStr">
        <is>
          <t>預售</t>
        </is>
      </c>
      <c r="N526" s="5" t="inlineStr">
        <is>
          <t>L3</t>
        </is>
      </c>
      <c r="O526" s="5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7">
      <c r="A527" s="5" t="n">
        <v>526</v>
      </c>
      <c r="B527" s="5" t="inlineStr">
        <is>
          <t>新竹縣</t>
        </is>
      </c>
      <c r="C527" s="5" t="inlineStr">
        <is>
          <t>A21008</t>
        </is>
      </c>
      <c r="D527" s="5" t="inlineStr">
        <is>
          <t>hsinchu-county</t>
        </is>
      </c>
      <c r="E527" s="5" t="inlineStr">
        <is>
          <t>竹北高鐵特區</t>
        </is>
      </c>
      <c r="F527" s="5" t="inlineStr">
        <is>
          <t>區段徵收</t>
        </is>
      </c>
      <c r="G527" s="5" t="inlineStr">
        <is>
          <t>富宇水花園</t>
        </is>
      </c>
      <c r="H527" s="5" t="inlineStr">
        <is>
          <t>富宇建設</t>
        </is>
      </c>
      <c r="I527" s="5" t="inlineStr">
        <is>
          <t>88戶</t>
        </is>
      </c>
      <c r="J527" s="5" t="inlineStr">
        <is>
          <t>30-42坪</t>
        </is>
      </c>
      <c r="K527" s="5" t="inlineStr">
        <is>
          <t>55.8萬/坪</t>
        </is>
      </c>
      <c r="L527" s="5" t="inlineStr"/>
      <c r="M527" s="5" t="inlineStr">
        <is>
          <t>已完工</t>
        </is>
      </c>
      <c r="N527" s="5" t="inlineStr">
        <is>
          <t>L3</t>
        </is>
      </c>
      <c r="O527" s="5" t="inlineStr">
        <is>
          <t>https://community.houseprice.tw/list/%E6%96%B0%E7%AB%B9%E7%B8%A3_city/%E9%AB%98%E9%90%B5%E7%89%B9%E5%8D%80_kw/</t>
        </is>
      </c>
    </row>
    <row r="528">
      <c r="A528" s="5" t="n">
        <v>527</v>
      </c>
      <c r="B528" s="5" t="inlineStr">
        <is>
          <t>新竹縣</t>
        </is>
      </c>
      <c r="C528" s="5" t="inlineStr">
        <is>
          <t>A21008</t>
        </is>
      </c>
      <c r="D528" s="5" t="inlineStr">
        <is>
          <t>hsinchu-county</t>
        </is>
      </c>
      <c r="E528" s="5" t="inlineStr">
        <is>
          <t>竹北高鐵特區</t>
        </is>
      </c>
      <c r="F528" s="5" t="inlineStr">
        <is>
          <t>區段徵收</t>
        </is>
      </c>
      <c r="G528" s="5" t="inlineStr">
        <is>
          <t>明日軸</t>
        </is>
      </c>
      <c r="H528" s="5" t="inlineStr"/>
      <c r="I528" s="5" t="inlineStr"/>
      <c r="J528" s="5" t="inlineStr"/>
      <c r="K528" s="5" t="inlineStr"/>
      <c r="L528" s="5" t="inlineStr"/>
      <c r="M528" s="5" t="inlineStr">
        <is>
          <t>已完工</t>
        </is>
      </c>
      <c r="N528" s="5" t="inlineStr">
        <is>
          <t>L3</t>
        </is>
      </c>
      <c r="O528" s="5" t="inlineStr">
        <is>
          <t>https://community.houseprice.tw/list/%E6%96%B0%E7%AB%B9%E7%B8%A3_city/%E9%AB%98%E9%90%B5%E7%89%B9%E5%8D%80_kw/</t>
        </is>
      </c>
    </row>
    <row r="529">
      <c r="A529" s="5" t="n">
        <v>528</v>
      </c>
      <c r="B529" s="5" t="inlineStr">
        <is>
          <t>新竹縣</t>
        </is>
      </c>
      <c r="C529" s="5" t="inlineStr">
        <is>
          <t>A21008</t>
        </is>
      </c>
      <c r="D529" s="5" t="inlineStr">
        <is>
          <t>hsinchu-county</t>
        </is>
      </c>
      <c r="E529" s="5" t="inlineStr">
        <is>
          <t>竹北高鐵特區</t>
        </is>
      </c>
      <c r="F529" s="5" t="inlineStr">
        <is>
          <t>區段徵收</t>
        </is>
      </c>
      <c r="G529" s="5" t="inlineStr">
        <is>
          <t>合新璞遇</t>
        </is>
      </c>
      <c r="H529" s="5" t="inlineStr">
        <is>
          <t>合新建設(寶佳機構)</t>
        </is>
      </c>
      <c r="I529" s="5" t="inlineStr">
        <is>
          <t>332戶</t>
        </is>
      </c>
      <c r="J529" s="5" t="inlineStr">
        <is>
          <t>24-49坪</t>
        </is>
      </c>
      <c r="K529" s="5" t="inlineStr">
        <is>
          <t>72.3萬/坪</t>
        </is>
      </c>
      <c r="L529" s="5" t="inlineStr"/>
      <c r="M529" s="5" t="inlineStr">
        <is>
          <t>已完工</t>
        </is>
      </c>
      <c r="N529" s="5" t="inlineStr">
        <is>
          <t>L3</t>
        </is>
      </c>
      <c r="O529" s="5" t="inlineStr">
        <is>
          <t>https://community.houseprice.tw/list/%E6%96%B0%E7%AB%B9%E7%B8%A3_city/%E7%AB%B9%E5%8C%97%E5%B8%82_zip/</t>
        </is>
      </c>
    </row>
    <row r="530">
      <c r="A530" s="5" t="n">
        <v>529</v>
      </c>
      <c r="B530" s="5" t="inlineStr">
        <is>
          <t>新竹縣</t>
        </is>
      </c>
      <c r="C530" s="5" t="inlineStr">
        <is>
          <t>A21008</t>
        </is>
      </c>
      <c r="D530" s="5" t="inlineStr">
        <is>
          <t>hsinchu-county</t>
        </is>
      </c>
      <c r="E530" s="5" t="inlineStr">
        <is>
          <t>竹北高鐵特區</t>
        </is>
      </c>
      <c r="F530" s="5" t="inlineStr">
        <is>
          <t>區段徵收</t>
        </is>
      </c>
      <c r="G530" s="5" t="inlineStr">
        <is>
          <t>昌益馥璽</t>
        </is>
      </c>
      <c r="H530" s="5" t="inlineStr">
        <is>
          <t>昌益建設</t>
        </is>
      </c>
      <c r="I530" s="5" t="inlineStr">
        <is>
          <t>31戶</t>
        </is>
      </c>
      <c r="J530" s="5" t="inlineStr"/>
      <c r="K530" s="5" t="inlineStr">
        <is>
          <t>86萬/坪</t>
        </is>
      </c>
      <c r="L530" s="5" t="inlineStr"/>
      <c r="M530" s="5" t="inlineStr">
        <is>
          <t>交屋中</t>
        </is>
      </c>
      <c r="N530" s="5" t="inlineStr">
        <is>
          <t>L3</t>
        </is>
      </c>
      <c r="O530" s="5" t="inlineStr">
        <is>
          <t>https://www.leju.com.tw/community_list?area=302&amp;city=J&amp;is_new=1</t>
        </is>
      </c>
    </row>
    <row r="531">
      <c r="A531" s="5" t="n">
        <v>530</v>
      </c>
      <c r="B531" s="5" t="inlineStr">
        <is>
          <t>苗栗縣</t>
        </is>
      </c>
      <c r="C531" s="5" t="inlineStr">
        <is>
          <t>A21009</t>
        </is>
      </c>
      <c r="D531" s="5" t="inlineStr">
        <is>
          <t>miaoli</t>
        </is>
      </c>
      <c r="E531" s="5" t="inlineStr">
        <is>
          <t>竹南公辦重劃</t>
        </is>
      </c>
      <c r="F531" s="5" t="inlineStr">
        <is>
          <t>公辦市地重劃</t>
        </is>
      </c>
      <c r="G531" s="5" t="inlineStr">
        <is>
          <t>璞玉君鼎</t>
        </is>
      </c>
      <c r="H531" s="5" t="inlineStr">
        <is>
          <t>璞玉建設</t>
        </is>
      </c>
      <c r="I531" s="5" t="inlineStr"/>
      <c r="J531" s="5" t="inlineStr"/>
      <c r="K531" s="5" t="inlineStr"/>
      <c r="L531" s="5" t="inlineStr"/>
      <c r="M531" s="5" t="inlineStr">
        <is>
          <t>預售</t>
        </is>
      </c>
      <c r="N531" s="5" t="inlineStr">
        <is>
          <t>L3</t>
        </is>
      </c>
      <c r="O531" s="5" t="inlineStr">
        <is>
          <t>https://knowhouse.tw/2129</t>
        </is>
      </c>
    </row>
    <row r="532">
      <c r="A532" s="5" t="n">
        <v>531</v>
      </c>
      <c r="B532" s="5" t="inlineStr">
        <is>
          <t>苗栗縣</t>
        </is>
      </c>
      <c r="C532" s="5" t="inlineStr">
        <is>
          <t>A21009</t>
        </is>
      </c>
      <c r="D532" s="5" t="inlineStr">
        <is>
          <t>miaoli</t>
        </is>
      </c>
      <c r="E532" s="5" t="inlineStr">
        <is>
          <t>竹南公辦重劃</t>
        </is>
      </c>
      <c r="F532" s="5" t="inlineStr">
        <is>
          <t>公辦市地重劃</t>
        </is>
      </c>
      <c r="G532" s="5" t="inlineStr">
        <is>
          <t>清水圓栢</t>
        </is>
      </c>
      <c r="H532" s="5" t="inlineStr">
        <is>
          <t>竑廣建設</t>
        </is>
      </c>
      <c r="I532" s="5" t="inlineStr"/>
      <c r="J532" s="5" t="inlineStr">
        <is>
          <t>118-136坪(建坪)</t>
        </is>
      </c>
      <c r="K532" s="5" t="inlineStr"/>
      <c r="L532" s="5" t="inlineStr"/>
      <c r="M532" s="5" t="inlineStr">
        <is>
          <t>銷售中</t>
        </is>
      </c>
      <c r="N532" s="5" t="inlineStr">
        <is>
          <t>L3</t>
        </is>
      </c>
      <c r="O532" s="5" t="inlineStr">
        <is>
          <t>https://hsinchu.housetube.tw/22168</t>
        </is>
      </c>
    </row>
    <row r="533">
      <c r="A533" s="5" t="n">
        <v>532</v>
      </c>
      <c r="B533" s="5" t="inlineStr">
        <is>
          <t>苗栗縣</t>
        </is>
      </c>
      <c r="C533" s="5" t="inlineStr">
        <is>
          <t>A21009</t>
        </is>
      </c>
      <c r="D533" s="5" t="inlineStr">
        <is>
          <t>miaoli</t>
        </is>
      </c>
      <c r="E533" s="5" t="inlineStr">
        <is>
          <t>竹南公辦重劃</t>
        </is>
      </c>
      <c r="F533" s="5" t="inlineStr">
        <is>
          <t>公辦市地重劃</t>
        </is>
      </c>
      <c r="G533" s="5" t="inlineStr">
        <is>
          <t>雙璽</t>
        </is>
      </c>
      <c r="H533" s="5" t="inlineStr">
        <is>
          <t>郡林建設</t>
        </is>
      </c>
      <c r="I533" s="5" t="inlineStr">
        <is>
          <t>8戶(住宅)</t>
        </is>
      </c>
      <c r="J533" s="5" t="inlineStr"/>
      <c r="K533" s="5" t="inlineStr"/>
      <c r="L533" s="5" t="inlineStr"/>
      <c r="M533" s="5" t="inlineStr">
        <is>
          <t>銷售中</t>
        </is>
      </c>
      <c r="N533" s="5" t="inlineStr">
        <is>
          <t>L3</t>
        </is>
      </c>
      <c r="O533" s="5" t="inlineStr">
        <is>
          <t>https://hsinchu.housetube.tw/22813</t>
        </is>
      </c>
    </row>
    <row r="534">
      <c r="A534" s="5" t="n">
        <v>533</v>
      </c>
      <c r="B534" s="5" t="inlineStr">
        <is>
          <t>苗栗縣</t>
        </is>
      </c>
      <c r="C534" s="5" t="inlineStr">
        <is>
          <t>A21009</t>
        </is>
      </c>
      <c r="D534" s="5" t="inlineStr">
        <is>
          <t>miaoli</t>
        </is>
      </c>
      <c r="E534" s="5" t="inlineStr">
        <is>
          <t>竹南公辦重劃</t>
        </is>
      </c>
      <c r="F534" s="5" t="inlineStr">
        <is>
          <t>公辦市地重劃</t>
        </is>
      </c>
      <c r="G534" s="5" t="inlineStr">
        <is>
          <t>與山前</t>
        </is>
      </c>
      <c r="H534" s="5" t="inlineStr"/>
      <c r="I534" s="5" t="inlineStr"/>
      <c r="J534" s="5" t="inlineStr"/>
      <c r="K534" s="5" t="inlineStr"/>
      <c r="L534" s="5" t="inlineStr"/>
      <c r="M534" s="5" t="inlineStr">
        <is>
          <t>預售</t>
        </is>
      </c>
      <c r="N534" s="5" t="inlineStr">
        <is>
          <t>L3</t>
        </is>
      </c>
      <c r="O534" s="5" t="inlineStr">
        <is>
          <t>https://m.591.com.tw/v2/news/article/10445</t>
        </is>
      </c>
    </row>
    <row r="535">
      <c r="A535" s="5" t="n">
        <v>534</v>
      </c>
      <c r="B535" s="5" t="inlineStr">
        <is>
          <t>苗栗縣</t>
        </is>
      </c>
      <c r="C535" s="5" t="inlineStr">
        <is>
          <t>A21009</t>
        </is>
      </c>
      <c r="D535" s="5" t="inlineStr">
        <is>
          <t>miaoli</t>
        </is>
      </c>
      <c r="E535" s="5" t="inlineStr">
        <is>
          <t>竹南公辦重劃</t>
        </is>
      </c>
      <c r="F535" s="5" t="inlineStr">
        <is>
          <t>公辦市地重劃</t>
        </is>
      </c>
      <c r="G535" s="5" t="inlineStr">
        <is>
          <t>富比市</t>
        </is>
      </c>
      <c r="H535" s="5" t="inlineStr">
        <is>
          <t>川鼎建設</t>
        </is>
      </c>
      <c r="I535" s="5" t="inlineStr"/>
      <c r="J535" s="5" t="inlineStr"/>
      <c r="K535" s="5" t="inlineStr"/>
      <c r="L535" s="5" t="inlineStr"/>
      <c r="M535" s="5" t="inlineStr">
        <is>
          <t>銷售中</t>
        </is>
      </c>
      <c r="N535" s="5" t="inlineStr">
        <is>
          <t>L3</t>
        </is>
      </c>
      <c r="O535" s="5" t="inlineStr">
        <is>
          <t>https://hsinchu.housetube.tw/22415</t>
        </is>
      </c>
    </row>
    <row r="536">
      <c r="A536" s="5" t="n">
        <v>535</v>
      </c>
      <c r="B536" s="5" t="inlineStr">
        <is>
          <t>苗栗縣</t>
        </is>
      </c>
      <c r="C536" s="5" t="inlineStr">
        <is>
          <t>A21009</t>
        </is>
      </c>
      <c r="D536" s="5" t="inlineStr">
        <is>
          <t>miaoli</t>
        </is>
      </c>
      <c r="E536" s="5" t="inlineStr">
        <is>
          <t>竹南公辦重劃</t>
        </is>
      </c>
      <c r="F536" s="5" t="inlineStr">
        <is>
          <t>公辦市地重劃</t>
        </is>
      </c>
      <c r="G536" s="5" t="inlineStr">
        <is>
          <t>福德美居</t>
        </is>
      </c>
      <c r="H536" s="5" t="inlineStr">
        <is>
          <t>亨泰建設</t>
        </is>
      </c>
      <c r="I536" s="5" t="inlineStr">
        <is>
          <t>8戶</t>
        </is>
      </c>
      <c r="J536" s="5" t="inlineStr"/>
      <c r="K536" s="5" t="inlineStr">
        <is>
          <t>39萬/坪</t>
        </is>
      </c>
      <c r="L536" s="5" t="inlineStr">
        <is>
          <t>2026</t>
        </is>
      </c>
      <c r="M536" s="5" t="inlineStr">
        <is>
          <t>新成屋</t>
        </is>
      </c>
      <c r="N536" s="5" t="inlineStr">
        <is>
          <t>L3</t>
        </is>
      </c>
      <c r="O536" s="5" t="inlineStr">
        <is>
          <t>https://newhouse.591.com.tw/137882</t>
        </is>
      </c>
    </row>
    <row r="537">
      <c r="A537" s="5" t="n">
        <v>536</v>
      </c>
      <c r="B537" s="5" t="inlineStr">
        <is>
          <t>苗栗縣</t>
        </is>
      </c>
      <c r="C537" s="5" t="inlineStr">
        <is>
          <t>A21009</t>
        </is>
      </c>
      <c r="D537" s="5" t="inlineStr">
        <is>
          <t>miaoli</t>
        </is>
      </c>
      <c r="E537" s="5" t="inlineStr">
        <is>
          <t>頭份公辦重劃</t>
        </is>
      </c>
      <c r="F537" s="5" t="inlineStr">
        <is>
          <t>公辦市地重劃</t>
        </is>
      </c>
      <c r="G537" s="5" t="inlineStr">
        <is>
          <t>禾木村</t>
        </is>
      </c>
      <c r="H537" s="5" t="inlineStr">
        <is>
          <t>立廣建設</t>
        </is>
      </c>
      <c r="I537" s="5" t="inlineStr">
        <is>
          <t>7戶</t>
        </is>
      </c>
      <c r="J537" s="5" t="inlineStr"/>
      <c r="K537" s="5" t="inlineStr"/>
      <c r="L537" s="5" t="inlineStr"/>
      <c r="M537" s="5" t="inlineStr">
        <is>
          <t>銷售中</t>
        </is>
      </c>
      <c r="N537" s="5" t="inlineStr">
        <is>
          <t>L3</t>
        </is>
      </c>
      <c r="O537" s="5" t="inlineStr">
        <is>
          <t>https://hsinchu.housetube.tw/38922</t>
        </is>
      </c>
    </row>
    <row r="538">
      <c r="A538" s="5" t="n">
        <v>537</v>
      </c>
      <c r="B538" s="5" t="inlineStr">
        <is>
          <t>苗栗縣</t>
        </is>
      </c>
      <c r="C538" s="5" t="inlineStr">
        <is>
          <t>A21009</t>
        </is>
      </c>
      <c r="D538" s="5" t="inlineStr">
        <is>
          <t>miaoli</t>
        </is>
      </c>
      <c r="E538" s="5" t="inlineStr">
        <is>
          <t>頭份公辦重劃</t>
        </is>
      </c>
      <c r="F538" s="5" t="inlineStr">
        <is>
          <t>公辦市地重劃</t>
        </is>
      </c>
      <c r="G538" s="5" t="inlineStr">
        <is>
          <t>昌隆廣場</t>
        </is>
      </c>
      <c r="H538" s="5" t="inlineStr"/>
      <c r="I538" s="5" t="inlineStr"/>
      <c r="J538" s="5" t="inlineStr"/>
      <c r="K538" s="5" t="inlineStr"/>
      <c r="L538" s="5" t="inlineStr"/>
      <c r="M538" s="5" t="inlineStr">
        <is>
          <t>已完工</t>
        </is>
      </c>
      <c r="N538" s="5" t="inlineStr">
        <is>
          <t>L3</t>
        </is>
      </c>
      <c r="O538" s="5" t="inlineStr">
        <is>
          <t>https://tw.top10place.com/--415444227.html</t>
        </is>
      </c>
    </row>
    <row r="539">
      <c r="A539" s="5" t="n">
        <v>538</v>
      </c>
      <c r="B539" s="5" t="inlineStr">
        <is>
          <t>苗栗縣</t>
        </is>
      </c>
      <c r="C539" s="5" t="inlineStr">
        <is>
          <t>A21009</t>
        </is>
      </c>
      <c r="D539" s="5" t="inlineStr">
        <is>
          <t>miaoli</t>
        </is>
      </c>
      <c r="E539" s="5" t="inlineStr">
        <is>
          <t>頭份公辦重劃</t>
        </is>
      </c>
      <c r="F539" s="5" t="inlineStr">
        <is>
          <t>公辦市地重劃</t>
        </is>
      </c>
      <c r="G539" s="5" t="inlineStr">
        <is>
          <t>新天地6</t>
        </is>
      </c>
      <c r="H539" s="5" t="inlineStr"/>
      <c r="I539" s="5" t="inlineStr"/>
      <c r="J539" s="5" t="inlineStr">
        <is>
          <t>21.6-32.91坪</t>
        </is>
      </c>
      <c r="K539" s="5" t="inlineStr">
        <is>
          <t>998萬/戶</t>
        </is>
      </c>
      <c r="L539" s="5" t="inlineStr"/>
      <c r="M539" s="5" t="inlineStr">
        <is>
          <t>預售</t>
        </is>
      </c>
      <c r="N539" s="5" t="inlineStr">
        <is>
          <t>L3</t>
        </is>
      </c>
      <c r="O539" s="5" t="inlineStr">
        <is>
          <t>https://newhouse.591.com.tw/136720</t>
        </is>
      </c>
    </row>
    <row r="540">
      <c r="A540" s="5" t="n">
        <v>539</v>
      </c>
      <c r="B540" s="5" t="inlineStr">
        <is>
          <t>苗栗縣</t>
        </is>
      </c>
      <c r="C540" s="5" t="inlineStr">
        <is>
          <t>A21009</t>
        </is>
      </c>
      <c r="D540" s="5" t="inlineStr">
        <is>
          <t>miaoli</t>
        </is>
      </c>
      <c r="E540" s="5" t="inlineStr">
        <is>
          <t>苗栗市自辦重劃</t>
        </is>
      </c>
      <c r="F540" s="5" t="inlineStr">
        <is>
          <t>自辦市地重劃</t>
        </is>
      </c>
      <c r="G540" s="5" t="inlineStr">
        <is>
          <t>苗宏凱旋6</t>
        </is>
      </c>
      <c r="H540" s="5" t="inlineStr"/>
      <c r="I540" s="5" t="inlineStr">
        <is>
          <t>8戶</t>
        </is>
      </c>
      <c r="J540" s="5" t="inlineStr"/>
      <c r="K540" s="5" t="inlineStr">
        <is>
          <t>38-39萬/坪</t>
        </is>
      </c>
      <c r="L540" s="5" t="inlineStr">
        <is>
          <t>2028</t>
        </is>
      </c>
      <c r="M540" s="5" t="inlineStr">
        <is>
          <t>預售</t>
        </is>
      </c>
      <c r="N540" s="5" t="inlineStr">
        <is>
          <t>L3</t>
        </is>
      </c>
      <c r="O540" s="5" t="inlineStr">
        <is>
          <t>https://www.leju.com.tw/community_list?area=K360&amp;city=K&amp;is_new=1&amp;p=2</t>
        </is>
      </c>
    </row>
    <row r="541">
      <c r="A541" s="5" t="n">
        <v>540</v>
      </c>
      <c r="B541" s="5" t="inlineStr">
        <is>
          <t>苗栗縣</t>
        </is>
      </c>
      <c r="C541" s="5" t="inlineStr">
        <is>
          <t>A21009</t>
        </is>
      </c>
      <c r="D541" s="5" t="inlineStr">
        <is>
          <t>miaoli</t>
        </is>
      </c>
      <c r="E541" s="5" t="inlineStr">
        <is>
          <t>其他鄉鎮自辦案</t>
        </is>
      </c>
      <c r="F541" s="5" t="inlineStr">
        <is>
          <t>自辦市地重劃</t>
        </is>
      </c>
      <c r="G541" s="5" t="inlineStr">
        <is>
          <t>薇閣美地</t>
        </is>
      </c>
      <c r="H541" s="5" t="inlineStr">
        <is>
          <t>元美建設</t>
        </is>
      </c>
      <c r="I541" s="5" t="inlineStr"/>
      <c r="J541" s="5" t="inlineStr">
        <is>
          <t>58-62坪(建坪)</t>
        </is>
      </c>
      <c r="K541" s="5" t="inlineStr"/>
      <c r="L541" s="5" t="inlineStr"/>
      <c r="M541" s="5" t="inlineStr">
        <is>
          <t>銷售中</t>
        </is>
      </c>
      <c r="N541" s="5" t="inlineStr">
        <is>
          <t>L3</t>
        </is>
      </c>
      <c r="O541" s="5" t="inlineStr">
        <is>
          <t>https://hsinchu.housetube.tw/35443</t>
        </is>
      </c>
    </row>
    <row r="542">
      <c r="A542" s="5" t="n">
        <v>541</v>
      </c>
      <c r="B542" s="5" t="inlineStr">
        <is>
          <t>苗栗縣</t>
        </is>
      </c>
      <c r="C542" s="5" t="inlineStr">
        <is>
          <t>A21009</t>
        </is>
      </c>
      <c r="D542" s="5" t="inlineStr">
        <is>
          <t>miaoli</t>
        </is>
      </c>
      <c r="E542" s="5" t="inlineStr">
        <is>
          <t>其他鄉鎮自辦案</t>
        </is>
      </c>
      <c r="F542" s="5" t="inlineStr">
        <is>
          <t>自辦市地重劃</t>
        </is>
      </c>
      <c r="G542" s="5" t="inlineStr">
        <is>
          <t>有謙NO.17&amp;18</t>
        </is>
      </c>
      <c r="H542" s="5" t="inlineStr">
        <is>
          <t>寶君建設</t>
        </is>
      </c>
      <c r="I542" s="5" t="inlineStr"/>
      <c r="J542" s="5" t="inlineStr">
        <is>
          <t>73.9坪起(建坪)</t>
        </is>
      </c>
      <c r="K542" s="5" t="inlineStr"/>
      <c r="L542" s="5" t="inlineStr"/>
      <c r="M542" s="5" t="inlineStr">
        <is>
          <t>銷售中</t>
        </is>
      </c>
      <c r="N542" s="5" t="inlineStr">
        <is>
          <t>L3</t>
        </is>
      </c>
      <c r="O542" s="5" t="inlineStr">
        <is>
          <t>https://hsinchu.housetube.tw/23035</t>
        </is>
      </c>
    </row>
    <row r="543">
      <c r="A543" s="5" t="n">
        <v>542</v>
      </c>
      <c r="B543" s="5" t="inlineStr">
        <is>
          <t>苗栗縣</t>
        </is>
      </c>
      <c r="C543" s="5" t="inlineStr">
        <is>
          <t>A21009</t>
        </is>
      </c>
      <c r="D543" s="5" t="inlineStr">
        <is>
          <t>miaoli</t>
        </is>
      </c>
      <c r="E543" s="5" t="inlineStr">
        <is>
          <t>其他鄉鎮自辦案</t>
        </is>
      </c>
      <c r="F543" s="5" t="inlineStr">
        <is>
          <t>自辦市地重劃</t>
        </is>
      </c>
      <c r="G543" s="5" t="inlineStr">
        <is>
          <t>富美家富御</t>
        </is>
      </c>
      <c r="H543" s="5" t="inlineStr">
        <is>
          <t>富美家建設</t>
        </is>
      </c>
      <c r="I543" s="5" t="inlineStr"/>
      <c r="J543" s="5" t="inlineStr"/>
      <c r="K543" s="5" t="inlineStr"/>
      <c r="L543" s="5" t="inlineStr"/>
      <c r="M543" s="5" t="inlineStr">
        <is>
          <t>銷售中</t>
        </is>
      </c>
      <c r="N543" s="5" t="inlineStr">
        <is>
          <t>L3</t>
        </is>
      </c>
      <c r="O543" s="5" t="inlineStr">
        <is>
          <t>https://knowhouse.tw/4113</t>
        </is>
      </c>
    </row>
    <row r="544">
      <c r="A544" s="5" t="n">
        <v>543</v>
      </c>
      <c r="B544" s="5" t="inlineStr">
        <is>
          <t>宜蘭縣</t>
        </is>
      </c>
      <c r="C544" s="5" t="inlineStr">
        <is>
          <t>A21015</t>
        </is>
      </c>
      <c r="D544" s="5" t="inlineStr">
        <is>
          <t>yilan</t>
        </is>
      </c>
      <c r="E544" s="5" t="inlineStr">
        <is>
          <t>羅東公辦重劃</t>
        </is>
      </c>
      <c r="F544" s="5" t="inlineStr">
        <is>
          <t>公辦市地重劃</t>
        </is>
      </c>
      <c r="G544" s="5" t="inlineStr">
        <is>
          <t>維揚文華苑</t>
        </is>
      </c>
      <c r="H544" s="5" t="inlineStr">
        <is>
          <t>日日宏建設</t>
        </is>
      </c>
      <c r="I544" s="5" t="inlineStr"/>
      <c r="J544" s="5" t="inlineStr">
        <is>
          <t>15-34坪</t>
        </is>
      </c>
      <c r="K544" s="5" t="inlineStr"/>
      <c r="L544" s="5" t="inlineStr"/>
      <c r="M544" s="5" t="inlineStr">
        <is>
          <t>銷售中</t>
        </is>
      </c>
      <c r="N544" s="5" t="inlineStr">
        <is>
          <t>L3</t>
        </is>
      </c>
      <c r="O544" s="5" t="inlineStr">
        <is>
          <t>https://tp.housetube.tw/34523</t>
        </is>
      </c>
    </row>
    <row r="545">
      <c r="A545" s="5" t="n">
        <v>544</v>
      </c>
      <c r="B545" s="5" t="inlineStr">
        <is>
          <t>宜蘭縣</t>
        </is>
      </c>
      <c r="C545" s="5" t="inlineStr">
        <is>
          <t>A21015</t>
        </is>
      </c>
      <c r="D545" s="5" t="inlineStr">
        <is>
          <t>yilan</t>
        </is>
      </c>
      <c r="E545" s="5" t="inlineStr">
        <is>
          <t>宜蘭市小型自辦重劃</t>
        </is>
      </c>
      <c r="F545" s="5" t="inlineStr">
        <is>
          <t>自辦市地重劃</t>
        </is>
      </c>
      <c r="G545" s="5" t="inlineStr">
        <is>
          <t>築院文化生活村</t>
        </is>
      </c>
      <c r="H545" s="5" t="inlineStr">
        <is>
          <t>怡華實業</t>
        </is>
      </c>
      <c r="I545" s="5" t="inlineStr">
        <is>
          <t>109戶</t>
        </is>
      </c>
      <c r="J545" s="5" t="inlineStr">
        <is>
          <t>24-62坪</t>
        </is>
      </c>
      <c r="K545" s="5" t="inlineStr">
        <is>
          <t>44.8萬/坪</t>
        </is>
      </c>
      <c r="L545" s="5" t="inlineStr"/>
      <c r="M545" s="5" t="inlineStr">
        <is>
          <t>預售</t>
        </is>
      </c>
      <c r="N545" s="5" t="inlineStr">
        <is>
          <t>L3</t>
        </is>
      </c>
      <c r="O545" s="5" t="inlineStr">
        <is>
          <t>https://community.houseprice.tw/list/%E5%AE%9C%E8%98%AD%E7%B8%A3_city/%E5%AE%9C%E8%98%BD%E5%B8%82_zip/</t>
        </is>
      </c>
    </row>
    <row r="546">
      <c r="A546" s="5" t="n">
        <v>545</v>
      </c>
      <c r="B546" s="5" t="inlineStr">
        <is>
          <t>宜蘭縣</t>
        </is>
      </c>
      <c r="C546" s="5" t="inlineStr">
        <is>
          <t>A21015</t>
        </is>
      </c>
      <c r="D546" s="5" t="inlineStr">
        <is>
          <t>yilan</t>
        </is>
      </c>
      <c r="E546" s="5" t="inlineStr">
        <is>
          <t>宜蘭市小型自辦重劃</t>
        </is>
      </c>
      <c r="F546" s="5" t="inlineStr">
        <is>
          <t>自辦市地重劃</t>
        </is>
      </c>
      <c r="G546" s="5" t="inlineStr">
        <is>
          <t>雍和苑</t>
        </is>
      </c>
      <c r="H546" s="5" t="inlineStr">
        <is>
          <t>堃昇建設</t>
        </is>
      </c>
      <c r="I546" s="5" t="inlineStr">
        <is>
          <t>47戶</t>
        </is>
      </c>
      <c r="J546" s="5" t="inlineStr"/>
      <c r="K546" s="5" t="inlineStr"/>
      <c r="L546" s="5" t="inlineStr"/>
      <c r="M546" s="5" t="inlineStr">
        <is>
          <t>已完工</t>
        </is>
      </c>
      <c r="N546" s="5" t="inlineStr">
        <is>
          <t>L3</t>
        </is>
      </c>
      <c r="O546" s="5" t="inlineStr">
        <is>
          <t>https://tp.housetube.tw/24561</t>
        </is>
      </c>
    </row>
    <row r="547">
      <c r="A547" s="5" t="n">
        <v>546</v>
      </c>
      <c r="B547" s="5" t="inlineStr">
        <is>
          <t>宜蘭縣</t>
        </is>
      </c>
      <c r="C547" s="5" t="inlineStr">
        <is>
          <t>A21015</t>
        </is>
      </c>
      <c r="D547" s="5" t="inlineStr">
        <is>
          <t>yilan</t>
        </is>
      </c>
      <c r="E547" s="5" t="inlineStr">
        <is>
          <t>宜蘭市小型自辦重劃</t>
        </is>
      </c>
      <c r="F547" s="5" t="inlineStr">
        <is>
          <t>自辦市地重劃</t>
        </is>
      </c>
      <c r="G547" s="5" t="inlineStr">
        <is>
          <t>築樹(縣政中心)</t>
        </is>
      </c>
      <c r="H547" s="5" t="inlineStr">
        <is>
          <t>德築集團</t>
        </is>
      </c>
      <c r="I547" s="5" t="inlineStr"/>
      <c r="J547" s="5" t="inlineStr"/>
      <c r="K547" s="5" t="inlineStr"/>
      <c r="L547" s="5" t="inlineStr"/>
      <c r="M547" s="5" t="inlineStr">
        <is>
          <t>銷售中</t>
        </is>
      </c>
      <c r="N547" s="5" t="inlineStr">
        <is>
          <t>L3</t>
        </is>
      </c>
      <c r="O547" s="5" t="inlineStr">
        <is>
          <t>https://dezu.group/real-estate-case/zushu/</t>
        </is>
      </c>
    </row>
    <row r="548">
      <c r="A548" s="5" t="n">
        <v>547</v>
      </c>
      <c r="B548" s="5" t="inlineStr">
        <is>
          <t>彰化縣</t>
        </is>
      </c>
      <c r="C548" s="5" t="inlineStr">
        <is>
          <t>A21010</t>
        </is>
      </c>
      <c r="D548" s="5" t="inlineStr">
        <is>
          <t>changhua</t>
        </is>
      </c>
      <c r="E548" s="5" t="inlineStr">
        <is>
          <t>彰化市公辦重劃</t>
        </is>
      </c>
      <c r="F548" s="5" t="inlineStr">
        <is>
          <t>公辦市地重劃</t>
        </is>
      </c>
      <c r="G548" s="5" t="inlineStr">
        <is>
          <t>合新中正一綻</t>
        </is>
      </c>
      <c r="H548" s="5" t="inlineStr">
        <is>
          <t>合新建設</t>
        </is>
      </c>
      <c r="I548" s="5" t="inlineStr">
        <is>
          <t>203戶</t>
        </is>
      </c>
      <c r="J548" s="5" t="inlineStr">
        <is>
          <t>25-38坪</t>
        </is>
      </c>
      <c r="K548" s="5" t="inlineStr"/>
      <c r="L548" s="5" t="inlineStr"/>
      <c r="M548" s="5" t="inlineStr">
        <is>
          <t>預售</t>
        </is>
      </c>
      <c r="N548" s="5" t="inlineStr">
        <is>
          <t>L3</t>
        </is>
      </c>
      <c r="O548" s="5" t="inlineStr">
        <is>
          <t>https://community.houseprice.tw/list/%E5%BD%B0%E5%8C%96%E7%B8%A3_city/%E5%BD%B0%E5%8C%96%E5%B8%82_zip/</t>
        </is>
      </c>
    </row>
    <row r="549">
      <c r="A549" s="5" t="n">
        <v>548</v>
      </c>
      <c r="B549" s="5" t="inlineStr">
        <is>
          <t>彰化縣</t>
        </is>
      </c>
      <c r="C549" s="5" t="inlineStr">
        <is>
          <t>A21010</t>
        </is>
      </c>
      <c r="D549" s="5" t="inlineStr">
        <is>
          <t>changhua</t>
        </is>
      </c>
      <c r="E549" s="5" t="inlineStr">
        <is>
          <t>彰化市公辦重劃</t>
        </is>
      </c>
      <c r="F549" s="5" t="inlineStr">
        <is>
          <t>公辦市地重劃</t>
        </is>
      </c>
      <c r="G549" s="5" t="inlineStr">
        <is>
          <t>坤育師大苑</t>
        </is>
      </c>
      <c r="H549" s="5" t="inlineStr">
        <is>
          <t>坤育建設</t>
        </is>
      </c>
      <c r="I549" s="5" t="inlineStr">
        <is>
          <t>193戶</t>
        </is>
      </c>
      <c r="J549" s="5" t="inlineStr">
        <is>
          <t>23-41坪</t>
        </is>
      </c>
      <c r="K549" s="5" t="inlineStr">
        <is>
          <t>42.7萬/坪</t>
        </is>
      </c>
      <c r="L549" s="5" t="inlineStr"/>
      <c r="M549" s="5" t="inlineStr">
        <is>
          <t>預售</t>
        </is>
      </c>
      <c r="N549" s="5" t="inlineStr">
        <is>
          <t>L3</t>
        </is>
      </c>
      <c r="O549" s="5" t="inlineStr">
        <is>
          <t>https://community.houseprice.tw/list/%E5%BD%B0%E5%8C%96%E7%B8%A3_city/%E5%BD%B0%E5%8C%96%E5%B8%82_zip/</t>
        </is>
      </c>
    </row>
    <row r="550">
      <c r="A550" s="5" t="n">
        <v>549</v>
      </c>
      <c r="B550" s="5" t="inlineStr">
        <is>
          <t>彰化縣</t>
        </is>
      </c>
      <c r="C550" s="5" t="inlineStr">
        <is>
          <t>A21010</t>
        </is>
      </c>
      <c r="D550" s="5" t="inlineStr">
        <is>
          <t>changhua</t>
        </is>
      </c>
      <c r="E550" s="5" t="inlineStr">
        <is>
          <t>彰化市公辦重劃</t>
        </is>
      </c>
      <c r="F550" s="5" t="inlineStr">
        <is>
          <t>公辦市地重劃</t>
        </is>
      </c>
      <c r="G550" s="5" t="inlineStr">
        <is>
          <t>中正琢越</t>
        </is>
      </c>
      <c r="H550" s="5" t="inlineStr"/>
      <c r="I550" s="5" t="inlineStr">
        <is>
          <t>84戶</t>
        </is>
      </c>
      <c r="J550" s="5" t="inlineStr"/>
      <c r="K550" s="5" t="inlineStr"/>
      <c r="L550" s="5" t="inlineStr"/>
      <c r="M550" s="5" t="inlineStr">
        <is>
          <t>興建中</t>
        </is>
      </c>
      <c r="N550" s="5" t="inlineStr">
        <is>
          <t>L3</t>
        </is>
      </c>
      <c r="O550" s="5" t="inlineStr">
        <is>
          <t>https://www.leju.com.tw/community_list?area=N500&amp;city=N&amp;p=3&amp;sid=11256</t>
        </is>
      </c>
    </row>
    <row r="551">
      <c r="A551" s="5" t="n">
        <v>550</v>
      </c>
      <c r="B551" s="5" t="inlineStr">
        <is>
          <t>彰化縣</t>
        </is>
      </c>
      <c r="C551" s="5" t="inlineStr">
        <is>
          <t>A21010</t>
        </is>
      </c>
      <c r="D551" s="5" t="inlineStr">
        <is>
          <t>changhua</t>
        </is>
      </c>
      <c r="E551" s="5" t="inlineStr">
        <is>
          <t>彰化市公辦重劃</t>
        </is>
      </c>
      <c r="F551" s="5" t="inlineStr">
        <is>
          <t>公辦市地重劃</t>
        </is>
      </c>
      <c r="G551" s="5" t="inlineStr">
        <is>
          <t>泉宇文華苑</t>
        </is>
      </c>
      <c r="H551" s="5" t="inlineStr">
        <is>
          <t>泉品建設</t>
        </is>
      </c>
      <c r="I551" s="5" t="inlineStr">
        <is>
          <t>94戶</t>
        </is>
      </c>
      <c r="J551" s="5" t="inlineStr"/>
      <c r="K551" s="5" t="inlineStr"/>
      <c r="L551" s="5" t="inlineStr"/>
      <c r="M551" s="5" t="inlineStr">
        <is>
          <t>已完工</t>
        </is>
      </c>
      <c r="N551" s="5" t="inlineStr">
        <is>
          <t>L3</t>
        </is>
      </c>
      <c r="O551" s="5" t="inlineStr">
        <is>
          <t>https://tw.bpmatlas.com/property/p-nfeah1/</t>
        </is>
      </c>
    </row>
    <row r="552">
      <c r="A552" s="5" t="n">
        <v>551</v>
      </c>
      <c r="B552" s="5" t="inlineStr">
        <is>
          <t>彰化縣</t>
        </is>
      </c>
      <c r="C552" s="5" t="inlineStr">
        <is>
          <t>A21010</t>
        </is>
      </c>
      <c r="D552" s="5" t="inlineStr">
        <is>
          <t>changhua</t>
        </is>
      </c>
      <c r="E552" s="5" t="inlineStr">
        <is>
          <t>彰化市公辦重劃</t>
        </is>
      </c>
      <c r="F552" s="5" t="inlineStr">
        <is>
          <t>公辦市地重劃</t>
        </is>
      </c>
      <c r="G552" s="5" t="inlineStr">
        <is>
          <t>文化中山寓所</t>
        </is>
      </c>
      <c r="H552" s="5" t="inlineStr">
        <is>
          <t>巨匠建設</t>
        </is>
      </c>
      <c r="I552" s="5" t="inlineStr">
        <is>
          <t>66戶</t>
        </is>
      </c>
      <c r="J552" s="5" t="inlineStr"/>
      <c r="K552" s="5" t="inlineStr"/>
      <c r="L552" s="5" t="inlineStr"/>
      <c r="M552" s="5" t="inlineStr">
        <is>
          <t>銷售中</t>
        </is>
      </c>
      <c r="N552" s="5" t="inlineStr">
        <is>
          <t>L3</t>
        </is>
      </c>
      <c r="O552" s="5" t="inlineStr">
        <is>
          <t>https://knowhouse.tw/2958</t>
        </is>
      </c>
    </row>
    <row r="553">
      <c r="A553" s="5" t="n">
        <v>552</v>
      </c>
      <c r="B553" s="5" t="inlineStr">
        <is>
          <t>彰化縣</t>
        </is>
      </c>
      <c r="C553" s="5" t="inlineStr">
        <is>
          <t>A21010</t>
        </is>
      </c>
      <c r="D553" s="5" t="inlineStr">
        <is>
          <t>changhua</t>
        </is>
      </c>
      <c r="E553" s="5" t="inlineStr">
        <is>
          <t>員林公辦重劃</t>
        </is>
      </c>
      <c r="F553" s="5" t="inlineStr">
        <is>
          <t>公辦市地重劃</t>
        </is>
      </c>
      <c r="G553" s="5" t="inlineStr">
        <is>
          <t>原鄰仁</t>
        </is>
      </c>
      <c r="H553" s="5" t="inlineStr">
        <is>
          <t>坤悅開發</t>
        </is>
      </c>
      <c r="I553" s="5" t="inlineStr"/>
      <c r="J553" s="5" t="inlineStr">
        <is>
          <t>25-34坪</t>
        </is>
      </c>
      <c r="K553" s="5" t="inlineStr"/>
      <c r="L553" s="5" t="inlineStr"/>
      <c r="M553" s="5" t="inlineStr">
        <is>
          <t>銷售中</t>
        </is>
      </c>
      <c r="N553" s="5" t="inlineStr">
        <is>
          <t>L3</t>
        </is>
      </c>
      <c r="O553" s="5" t="inlineStr">
        <is>
          <t>https://taichung.housetube.tw/26441</t>
        </is>
      </c>
    </row>
    <row r="554">
      <c r="A554" s="5" t="n">
        <v>553</v>
      </c>
      <c r="B554" s="5" t="inlineStr">
        <is>
          <t>彰化縣</t>
        </is>
      </c>
      <c r="C554" s="5" t="inlineStr">
        <is>
          <t>A21010</t>
        </is>
      </c>
      <c r="D554" s="5" t="inlineStr">
        <is>
          <t>changhua</t>
        </is>
      </c>
      <c r="E554" s="5" t="inlineStr">
        <is>
          <t>員林公辦重劃</t>
        </is>
      </c>
      <c r="F554" s="5" t="inlineStr">
        <is>
          <t>公辦市地重劃</t>
        </is>
      </c>
      <c r="G554" s="5" t="inlineStr">
        <is>
          <t>允將寓見花園</t>
        </is>
      </c>
      <c r="H554" s="5" t="inlineStr">
        <is>
          <t>允將建設</t>
        </is>
      </c>
      <c r="I554" s="5" t="inlineStr"/>
      <c r="J554" s="5" t="inlineStr"/>
      <c r="K554" s="5" t="inlineStr"/>
      <c r="L554" s="5" t="inlineStr"/>
      <c r="M554" s="5" t="inlineStr">
        <is>
          <t>銷售中</t>
        </is>
      </c>
      <c r="N554" s="5" t="inlineStr">
        <is>
          <t>L3</t>
        </is>
      </c>
      <c r="O554" s="5" t="inlineStr">
        <is>
          <t>https://knowhouse.tw/2058</t>
        </is>
      </c>
    </row>
    <row r="555">
      <c r="A555" s="5" t="n">
        <v>554</v>
      </c>
      <c r="B555" s="5" t="inlineStr">
        <is>
          <t>彰化縣</t>
        </is>
      </c>
      <c r="C555" s="5" t="inlineStr">
        <is>
          <t>A21010</t>
        </is>
      </c>
      <c r="D555" s="5" t="inlineStr">
        <is>
          <t>changhua</t>
        </is>
      </c>
      <c r="E555" s="5" t="inlineStr">
        <is>
          <t>員林公辦重劃</t>
        </is>
      </c>
      <c r="F555" s="5" t="inlineStr">
        <is>
          <t>公辦市地重劃</t>
        </is>
      </c>
      <c r="G555" s="5" t="inlineStr">
        <is>
          <t>允將十二院</t>
        </is>
      </c>
      <c r="H555" s="5" t="inlineStr">
        <is>
          <t>允將建設</t>
        </is>
      </c>
      <c r="I555" s="5" t="inlineStr"/>
      <c r="J555" s="5" t="inlineStr"/>
      <c r="K555" s="5" t="inlineStr"/>
      <c r="L555" s="5" t="inlineStr"/>
      <c r="M555" s="5" t="inlineStr">
        <is>
          <t>銷售中</t>
        </is>
      </c>
      <c r="N555" s="5" t="inlineStr">
        <is>
          <t>L3</t>
        </is>
      </c>
      <c r="O555" s="5" t="inlineStr">
        <is>
          <t>https://taichung.housetube.tw/39109</t>
        </is>
      </c>
    </row>
    <row r="556">
      <c r="A556" s="5" t="n">
        <v>555</v>
      </c>
      <c r="B556" s="5" t="inlineStr">
        <is>
          <t>彰化縣</t>
        </is>
      </c>
      <c r="C556" s="5" t="inlineStr">
        <is>
          <t>A21010</t>
        </is>
      </c>
      <c r="D556" s="5" t="inlineStr">
        <is>
          <t>changhua</t>
        </is>
      </c>
      <c r="E556" s="5" t="inlineStr">
        <is>
          <t>員林公辦重劃</t>
        </is>
      </c>
      <c r="F556" s="5" t="inlineStr">
        <is>
          <t>公辦市地重劃</t>
        </is>
      </c>
      <c r="G556" s="5" t="inlineStr">
        <is>
          <t>禮想</t>
        </is>
      </c>
      <c r="H556" s="5" t="inlineStr">
        <is>
          <t>毅品建設</t>
        </is>
      </c>
      <c r="I556" s="5" t="inlineStr"/>
      <c r="J556" s="5" t="inlineStr">
        <is>
          <t>24.7-45.4坪</t>
        </is>
      </c>
      <c r="K556" s="5" t="inlineStr"/>
      <c r="L556" s="5" t="inlineStr"/>
      <c r="M556" s="5" t="inlineStr">
        <is>
          <t>銷售中</t>
        </is>
      </c>
      <c r="N556" s="5" t="inlineStr">
        <is>
          <t>L3</t>
        </is>
      </c>
      <c r="O556" s="5" t="inlineStr">
        <is>
          <t>https://taichung.housetube.tw/39205</t>
        </is>
      </c>
    </row>
    <row r="557">
      <c r="A557" s="5" t="n">
        <v>556</v>
      </c>
      <c r="B557" s="5" t="inlineStr">
        <is>
          <t>彰化縣</t>
        </is>
      </c>
      <c r="C557" s="5" t="inlineStr">
        <is>
          <t>A21010</t>
        </is>
      </c>
      <c r="D557" s="5" t="inlineStr">
        <is>
          <t>changhua</t>
        </is>
      </c>
      <c r="E557" s="5" t="inlineStr">
        <is>
          <t>員林公辦重劃</t>
        </is>
      </c>
      <c r="F557" s="5" t="inlineStr">
        <is>
          <t>公辦市地重劃</t>
        </is>
      </c>
      <c r="G557" s="5" t="inlineStr">
        <is>
          <t>七碩四季灣</t>
        </is>
      </c>
      <c r="H557" s="5" t="inlineStr">
        <is>
          <t>七碩建設</t>
        </is>
      </c>
      <c r="I557" s="5" t="inlineStr">
        <is>
          <t>120戶</t>
        </is>
      </c>
      <c r="J557" s="5" t="inlineStr">
        <is>
          <t>29.6-111坪</t>
        </is>
      </c>
      <c r="K557" s="5" t="inlineStr">
        <is>
          <t>26.2萬/坪</t>
        </is>
      </c>
      <c r="L557" s="5" t="inlineStr"/>
      <c r="M557" s="5" t="inlineStr">
        <is>
          <t>已完工</t>
        </is>
      </c>
      <c r="N557" s="5" t="inlineStr">
        <is>
          <t>L3</t>
        </is>
      </c>
      <c r="O557" s="5" t="inlineStr">
        <is>
          <t>https://community.houseprice.tw/building/156191/</t>
        </is>
      </c>
    </row>
    <row r="558">
      <c r="A558" s="5" t="n">
        <v>557</v>
      </c>
      <c r="B558" s="5" t="inlineStr">
        <is>
          <t>彰化縣</t>
        </is>
      </c>
      <c r="C558" s="5" t="inlineStr">
        <is>
          <t>A21010</t>
        </is>
      </c>
      <c r="D558" s="5" t="inlineStr">
        <is>
          <t>changhua</t>
        </is>
      </c>
      <c r="E558" s="5" t="inlineStr">
        <is>
          <t>員林公辦重劃</t>
        </is>
      </c>
      <c r="F558" s="5" t="inlineStr">
        <is>
          <t>公辦市地重劃</t>
        </is>
      </c>
      <c r="G558" s="5" t="inlineStr">
        <is>
          <t>合陽鼎峰</t>
        </is>
      </c>
      <c r="H558" s="5" t="inlineStr">
        <is>
          <t>合陽建設</t>
        </is>
      </c>
      <c r="I558" s="5" t="inlineStr"/>
      <c r="J558" s="5" t="inlineStr"/>
      <c r="K558" s="5" t="inlineStr"/>
      <c r="L558" s="5" t="inlineStr"/>
      <c r="M558" s="5" t="inlineStr">
        <is>
          <t>銷售中</t>
        </is>
      </c>
      <c r="N558" s="5" t="inlineStr">
        <is>
          <t>L3</t>
        </is>
      </c>
      <c r="O558" s="5" t="inlineStr">
        <is>
          <t>https://knowhouse.tw/4381</t>
        </is>
      </c>
    </row>
    <row r="559">
      <c r="A559" s="5" t="n">
        <v>558</v>
      </c>
      <c r="B559" s="5" t="inlineStr">
        <is>
          <t>彰化縣</t>
        </is>
      </c>
      <c r="C559" s="5" t="inlineStr">
        <is>
          <t>A21010</t>
        </is>
      </c>
      <c r="D559" s="5" t="inlineStr">
        <is>
          <t>changhua</t>
        </is>
      </c>
      <c r="E559" s="5" t="inlineStr">
        <is>
          <t>員林公辦重劃</t>
        </is>
      </c>
      <c r="F559" s="5" t="inlineStr">
        <is>
          <t>公辦市地重劃</t>
        </is>
      </c>
      <c r="G559" s="5" t="inlineStr">
        <is>
          <t>勝方益民</t>
        </is>
      </c>
      <c r="H559" s="5" t="inlineStr">
        <is>
          <t>勝方建設</t>
        </is>
      </c>
      <c r="I559" s="5" t="inlineStr"/>
      <c r="J559" s="5" t="inlineStr">
        <is>
          <t>26-45坪</t>
        </is>
      </c>
      <c r="K559" s="5" t="inlineStr"/>
      <c r="L559" s="5" t="inlineStr"/>
      <c r="M559" s="5" t="inlineStr">
        <is>
          <t>銷售中</t>
        </is>
      </c>
      <c r="N559" s="5" t="inlineStr">
        <is>
          <t>L3</t>
        </is>
      </c>
      <c r="O559" s="5" t="inlineStr">
        <is>
          <t>https://taichung.housetube.tw/38616</t>
        </is>
      </c>
    </row>
    <row r="560">
      <c r="A560" s="5" t="n">
        <v>559</v>
      </c>
      <c r="B560" s="5" t="inlineStr">
        <is>
          <t>彰化縣</t>
        </is>
      </c>
      <c r="C560" s="5" t="inlineStr">
        <is>
          <t>A21010</t>
        </is>
      </c>
      <c r="D560" s="5" t="inlineStr">
        <is>
          <t>changhua</t>
        </is>
      </c>
      <c r="E560" s="5" t="inlineStr">
        <is>
          <t>鹿港自辦重劃</t>
        </is>
      </c>
      <c r="F560" s="5" t="inlineStr">
        <is>
          <t>自辦市地重劃</t>
        </is>
      </c>
      <c r="G560" s="5" t="inlineStr">
        <is>
          <t>昱宏樂居</t>
        </is>
      </c>
      <c r="H560" s="5" t="inlineStr">
        <is>
          <t>昱宏建設</t>
        </is>
      </c>
      <c r="I560" s="5" t="inlineStr"/>
      <c r="J560" s="5" t="inlineStr"/>
      <c r="K560" s="5" t="inlineStr"/>
      <c r="L560" s="5" t="inlineStr"/>
      <c r="M560" s="5" t="inlineStr">
        <is>
          <t>銷售中</t>
        </is>
      </c>
      <c r="N560" s="5" t="inlineStr">
        <is>
          <t>L3</t>
        </is>
      </c>
      <c r="O560" s="5" t="inlineStr">
        <is>
          <t>https://newhouse.591.com.tw/134488/album?tag=image</t>
        </is>
      </c>
    </row>
    <row r="561">
      <c r="A561" s="5" t="n">
        <v>560</v>
      </c>
      <c r="B561" s="5" t="inlineStr">
        <is>
          <t>彰化縣</t>
        </is>
      </c>
      <c r="C561" s="5" t="inlineStr">
        <is>
          <t>A21010</t>
        </is>
      </c>
      <c r="D561" s="5" t="inlineStr">
        <is>
          <t>changhua</t>
        </is>
      </c>
      <c r="E561" s="5" t="inlineStr">
        <is>
          <t>鹿港自辦重劃</t>
        </is>
      </c>
      <c r="F561" s="5" t="inlineStr">
        <is>
          <t>自辦市地重劃</t>
        </is>
      </c>
      <c r="G561" s="5" t="inlineStr">
        <is>
          <t>名悅澍</t>
        </is>
      </c>
      <c r="H561" s="5" t="inlineStr">
        <is>
          <t>名悅建設</t>
        </is>
      </c>
      <c r="I561" s="5" t="inlineStr"/>
      <c r="J561" s="5" t="inlineStr">
        <is>
          <t>28-46坪(地坪)/50-57坪(建坪)</t>
        </is>
      </c>
      <c r="K561" s="5" t="inlineStr"/>
      <c r="L561" s="5" t="inlineStr"/>
      <c r="M561" s="5" t="inlineStr">
        <is>
          <t>銷售中</t>
        </is>
      </c>
      <c r="N561" s="5" t="inlineStr">
        <is>
          <t>L3</t>
        </is>
      </c>
      <c r="O561" s="5" t="inlineStr">
        <is>
          <t>https://taichung.housetube.tw/37829</t>
        </is>
      </c>
    </row>
    <row r="562">
      <c r="A562" s="5" t="n">
        <v>561</v>
      </c>
      <c r="B562" s="5" t="inlineStr">
        <is>
          <t>彰化縣</t>
        </is>
      </c>
      <c r="C562" s="5" t="inlineStr">
        <is>
          <t>A21010</t>
        </is>
      </c>
      <c r="D562" s="5" t="inlineStr">
        <is>
          <t>changhua</t>
        </is>
      </c>
      <c r="E562" s="5" t="inlineStr">
        <is>
          <t>鹿港自辦重劃</t>
        </is>
      </c>
      <c r="F562" s="5" t="inlineStr">
        <is>
          <t>自辦市地重劃</t>
        </is>
      </c>
      <c r="G562" s="5" t="inlineStr">
        <is>
          <t>鹿港雅園</t>
        </is>
      </c>
      <c r="H562" s="5" t="inlineStr">
        <is>
          <t>汯益開發</t>
        </is>
      </c>
      <c r="I562" s="5" t="inlineStr"/>
      <c r="J562" s="5" t="inlineStr"/>
      <c r="K562" s="5" t="inlineStr"/>
      <c r="L562" s="5" t="inlineStr"/>
      <c r="M562" s="5" t="inlineStr">
        <is>
          <t>已完工</t>
        </is>
      </c>
      <c r="N562" s="5" t="inlineStr">
        <is>
          <t>L3</t>
        </is>
      </c>
      <c r="O562" s="5" t="inlineStr">
        <is>
          <t>https://newhouse.591.com.tw/122214/detail；https://taichung.housetube.tw/36812</t>
        </is>
      </c>
    </row>
    <row r="563">
      <c r="A563" s="5" t="n">
        <v>562</v>
      </c>
      <c r="B563" s="5" t="inlineStr">
        <is>
          <t>彰化縣</t>
        </is>
      </c>
      <c r="C563" s="5" t="inlineStr">
        <is>
          <t>A21010</t>
        </is>
      </c>
      <c r="D563" s="5" t="inlineStr">
        <is>
          <t>changhua</t>
        </is>
      </c>
      <c r="E563" s="5" t="inlineStr">
        <is>
          <t>鹿港自辦重劃</t>
        </is>
      </c>
      <c r="F563" s="5" t="inlineStr">
        <is>
          <t>自辦市地重劃</t>
        </is>
      </c>
      <c r="G563" s="5" t="inlineStr">
        <is>
          <t>晟光新悅二期</t>
        </is>
      </c>
      <c r="H563" s="5" t="inlineStr">
        <is>
          <t>晟光建設</t>
        </is>
      </c>
      <c r="I563" s="5" t="inlineStr"/>
      <c r="J563" s="5" t="inlineStr">
        <is>
          <t>21.5-21.8坪(地坪)</t>
        </is>
      </c>
      <c r="K563" s="5" t="inlineStr"/>
      <c r="L563" s="5" t="inlineStr"/>
      <c r="M563" s="5" t="inlineStr">
        <is>
          <t>銷售中</t>
        </is>
      </c>
      <c r="N563" s="5" t="inlineStr">
        <is>
          <t>L3</t>
        </is>
      </c>
      <c r="O563" s="5" t="inlineStr">
        <is>
          <t>https://taichung.housetube.tw/37148</t>
        </is>
      </c>
    </row>
    <row r="564">
      <c r="A564" s="5" t="n">
        <v>563</v>
      </c>
      <c r="B564" s="5" t="inlineStr">
        <is>
          <t>彰化縣</t>
        </is>
      </c>
      <c r="C564" s="5" t="inlineStr">
        <is>
          <t>A21010</t>
        </is>
      </c>
      <c r="D564" s="5" t="inlineStr">
        <is>
          <t>changhua</t>
        </is>
      </c>
      <c r="E564" s="5" t="inlineStr">
        <is>
          <t>鹿港自辦重劃</t>
        </is>
      </c>
      <c r="F564" s="5" t="inlineStr">
        <is>
          <t>自辦市地重劃</t>
        </is>
      </c>
      <c r="G564" s="5" t="inlineStr">
        <is>
          <t>日光慕夏</t>
        </is>
      </c>
      <c r="H564" s="5" t="inlineStr">
        <is>
          <t>磊泰建設</t>
        </is>
      </c>
      <c r="I564" s="5" t="inlineStr"/>
      <c r="J564" s="5" t="inlineStr">
        <is>
          <t>24-25坪(地坪)</t>
        </is>
      </c>
      <c r="K564" s="5" t="inlineStr"/>
      <c r="L564" s="5" t="inlineStr"/>
      <c r="M564" s="5" t="inlineStr">
        <is>
          <t>銷售中</t>
        </is>
      </c>
      <c r="N564" s="5" t="inlineStr">
        <is>
          <t>L3</t>
        </is>
      </c>
      <c r="O564" s="5" t="inlineStr">
        <is>
          <t>https://taichung.housetube.tw/18461</t>
        </is>
      </c>
    </row>
    <row r="565">
      <c r="A565" s="5" t="n">
        <v>564</v>
      </c>
      <c r="B565" s="5" t="inlineStr">
        <is>
          <t>彰化縣</t>
        </is>
      </c>
      <c r="C565" s="5" t="inlineStr">
        <is>
          <t>A21010</t>
        </is>
      </c>
      <c r="D565" s="5" t="inlineStr">
        <is>
          <t>changhua</t>
        </is>
      </c>
      <c r="E565" s="5" t="inlineStr">
        <is>
          <t>鹿港自辦重劃</t>
        </is>
      </c>
      <c r="F565" s="5" t="inlineStr">
        <is>
          <t>自辦市地重劃</t>
        </is>
      </c>
      <c r="G565" s="5" t="inlineStr">
        <is>
          <t>富旺艾美莊園-市鎮香榭</t>
        </is>
      </c>
      <c r="H565" s="5" t="inlineStr">
        <is>
          <t>富旺國際</t>
        </is>
      </c>
      <c r="I565" s="5" t="inlineStr"/>
      <c r="J565" s="5" t="inlineStr">
        <is>
          <t>19-</t>
        </is>
      </c>
      <c r="K565" s="5" t="inlineStr"/>
      <c r="L565" s="5" t="inlineStr"/>
      <c r="M565" s="5" t="inlineStr">
        <is>
          <t>已完工</t>
        </is>
      </c>
      <c r="N565" s="5" t="inlineStr">
        <is>
          <t>L3</t>
        </is>
      </c>
      <c r="O565" s="5" t="inlineStr">
        <is>
          <t>https://house.chinatimes.com/20260827000001-264417</t>
        </is>
      </c>
    </row>
    <row r="566">
      <c r="A566" s="5" t="n">
        <v>565</v>
      </c>
      <c r="B566" s="5" t="inlineStr">
        <is>
          <t>彰化縣</t>
        </is>
      </c>
      <c r="C566" s="5" t="inlineStr">
        <is>
          <t>A21010</t>
        </is>
      </c>
      <c r="D566" s="5" t="inlineStr">
        <is>
          <t>changhua</t>
        </is>
      </c>
      <c r="E566" s="5" t="inlineStr">
        <is>
          <t>和美自辦重劃</t>
        </is>
      </c>
      <c r="F566" s="5" t="inlineStr">
        <is>
          <t>自辦市地重劃</t>
        </is>
      </c>
      <c r="G566" s="5" t="inlineStr">
        <is>
          <t>山水豐華（和美）</t>
        </is>
      </c>
      <c r="H566" s="5" t="inlineStr">
        <is>
          <t>君艦機構</t>
        </is>
      </c>
      <c r="I566" s="5" t="inlineStr"/>
      <c r="J566" s="5" t="inlineStr">
        <is>
          <t>21-40坪(地坪)/54-71坪(建坪)</t>
        </is>
      </c>
      <c r="K566" s="5" t="inlineStr"/>
      <c r="L566" s="5" t="inlineStr"/>
      <c r="M566" s="5" t="inlineStr">
        <is>
          <t>銷售中</t>
        </is>
      </c>
      <c r="N566" s="5" t="inlineStr">
        <is>
          <t>L3</t>
        </is>
      </c>
      <c r="O566" s="5" t="inlineStr">
        <is>
          <t>https://taichung.housetube.tw/31109</t>
        </is>
      </c>
    </row>
    <row r="567">
      <c r="A567" s="5" t="n">
        <v>566</v>
      </c>
      <c r="B567" s="5" t="inlineStr">
        <is>
          <t>彰化縣</t>
        </is>
      </c>
      <c r="C567" s="5" t="inlineStr">
        <is>
          <t>A21010</t>
        </is>
      </c>
      <c r="D567" s="5" t="inlineStr">
        <is>
          <t>changhua</t>
        </is>
      </c>
      <c r="E567" s="5" t="inlineStr">
        <is>
          <t>和美自辦重劃</t>
        </is>
      </c>
      <c r="F567" s="5" t="inlineStr">
        <is>
          <t>自辦市地重劃</t>
        </is>
      </c>
      <c r="G567" s="5" t="inlineStr">
        <is>
          <t>富宇世紀美</t>
        </is>
      </c>
      <c r="H567" s="5" t="inlineStr">
        <is>
          <t>富宇地產</t>
        </is>
      </c>
      <c r="I567" s="5" t="inlineStr"/>
      <c r="J567" s="5" t="inlineStr"/>
      <c r="K567" s="5" t="inlineStr"/>
      <c r="L567" s="5" t="inlineStr"/>
      <c r="M567" s="5" t="inlineStr">
        <is>
          <t>銷售中</t>
        </is>
      </c>
      <c r="N567" s="5" t="inlineStr">
        <is>
          <t>L3</t>
        </is>
      </c>
      <c r="O567" s="5" t="inlineStr">
        <is>
          <t>https://knowhouse.tw/3699</t>
        </is>
      </c>
    </row>
    <row r="568">
      <c r="A568" s="5" t="n">
        <v>567</v>
      </c>
      <c r="B568" s="5" t="inlineStr">
        <is>
          <t>彰化縣</t>
        </is>
      </c>
      <c r="C568" s="5" t="inlineStr">
        <is>
          <t>A21010</t>
        </is>
      </c>
      <c r="D568" s="5" t="inlineStr">
        <is>
          <t>changhua</t>
        </is>
      </c>
      <c r="E568" s="5" t="inlineStr">
        <is>
          <t>和美自辦重劃</t>
        </is>
      </c>
      <c r="F568" s="5" t="inlineStr">
        <is>
          <t>自辦市地重劃</t>
        </is>
      </c>
      <c r="G568" s="5" t="inlineStr">
        <is>
          <t>光間四季II</t>
        </is>
      </c>
      <c r="H568" s="5" t="inlineStr"/>
      <c r="I568" s="5" t="inlineStr"/>
      <c r="J568" s="5" t="inlineStr"/>
      <c r="K568" s="5" t="inlineStr"/>
      <c r="L568" s="5" t="inlineStr"/>
      <c r="M568" s="5" t="inlineStr">
        <is>
          <t>預售</t>
        </is>
      </c>
      <c r="N568" s="5" t="inlineStr">
        <is>
          <t>L3</t>
        </is>
      </c>
      <c r="O568" s="5" t="inlineStr">
        <is>
          <t>https://taichung.housetube.tw/c194</t>
        </is>
      </c>
    </row>
    <row r="569">
      <c r="A569" s="5" t="n">
        <v>568</v>
      </c>
      <c r="B569" s="5" t="inlineStr">
        <is>
          <t>彰化縣</t>
        </is>
      </c>
      <c r="C569" s="5" t="inlineStr">
        <is>
          <t>A21010</t>
        </is>
      </c>
      <c r="D569" s="5" t="inlineStr">
        <is>
          <t>changhua</t>
        </is>
      </c>
      <c r="E569" s="5" t="inlineStr">
        <is>
          <t>和美自辦重劃</t>
        </is>
      </c>
      <c r="F569" s="5" t="inlineStr">
        <is>
          <t>自辦市地重劃</t>
        </is>
      </c>
      <c r="G569" s="5" t="inlineStr">
        <is>
          <t>禾風臻墅-建東</t>
        </is>
      </c>
      <c r="H569" s="5" t="inlineStr">
        <is>
          <t>建東建設</t>
        </is>
      </c>
      <c r="I569" s="5" t="inlineStr"/>
      <c r="J569" s="5" t="inlineStr"/>
      <c r="K569" s="5" t="inlineStr"/>
      <c r="L569" s="5" t="inlineStr"/>
      <c r="M569" s="5" t="inlineStr">
        <is>
          <t>預售</t>
        </is>
      </c>
      <c r="N569" s="5" t="inlineStr">
        <is>
          <t>L3</t>
        </is>
      </c>
      <c r="O569" s="5" t="inlineStr">
        <is>
          <t>https://taichung.housetube.tw/c194</t>
        </is>
      </c>
    </row>
    <row r="570">
      <c r="A570" s="5" t="n">
        <v>569</v>
      </c>
      <c r="B570" s="5" t="inlineStr">
        <is>
          <t>彰化縣</t>
        </is>
      </c>
      <c r="C570" s="5" t="inlineStr">
        <is>
          <t>A21010</t>
        </is>
      </c>
      <c r="D570" s="5" t="inlineStr">
        <is>
          <t>changhua</t>
        </is>
      </c>
      <c r="E570" s="5" t="inlineStr">
        <is>
          <t>和美自辦重劃</t>
        </is>
      </c>
      <c r="F570" s="5" t="inlineStr">
        <is>
          <t>自辦市地重劃</t>
        </is>
      </c>
      <c r="G570" s="5" t="inlineStr">
        <is>
          <t>盛煌京棧II</t>
        </is>
      </c>
      <c r="H570" s="5" t="inlineStr">
        <is>
          <t>盛煌建設</t>
        </is>
      </c>
      <c r="I570" s="5" t="inlineStr">
        <is>
          <t>9戶</t>
        </is>
      </c>
      <c r="J570" s="5" t="inlineStr">
        <is>
          <t>38-48坪(地坪)/47-48坪(建坪)</t>
        </is>
      </c>
      <c r="K570" s="5" t="inlineStr"/>
      <c r="L570" s="5" t="inlineStr"/>
      <c r="M570" s="5" t="inlineStr">
        <is>
          <t>已完銷</t>
        </is>
      </c>
      <c r="N570" s="5" t="inlineStr">
        <is>
          <t>L3</t>
        </is>
      </c>
      <c r="O570" s="5" t="inlineStr">
        <is>
          <t>https://knowhouse.tw/3980</t>
        </is>
      </c>
    </row>
    <row r="571">
      <c r="A571" s="5" t="n">
        <v>570</v>
      </c>
      <c r="B571" s="5" t="inlineStr">
        <is>
          <t>彰化縣</t>
        </is>
      </c>
      <c r="C571" s="5" t="inlineStr">
        <is>
          <t>A21010</t>
        </is>
      </c>
      <c r="D571" s="5" t="inlineStr">
        <is>
          <t>changhua</t>
        </is>
      </c>
      <c r="E571" s="5" t="inlineStr">
        <is>
          <t>其他鄉鎮大量自辦案</t>
        </is>
      </c>
      <c r="F571" s="5" t="inlineStr">
        <is>
          <t>自辦市地重劃</t>
        </is>
      </c>
      <c r="G571" s="5" t="inlineStr">
        <is>
          <t>台合敦藏</t>
        </is>
      </c>
      <c r="H571" s="5" t="inlineStr">
        <is>
          <t>台合建設</t>
        </is>
      </c>
      <c r="I571" s="5" t="inlineStr"/>
      <c r="J571" s="5" t="inlineStr"/>
      <c r="K571" s="5" t="inlineStr"/>
      <c r="L571" s="5" t="inlineStr"/>
      <c r="M571" s="5" t="inlineStr">
        <is>
          <t>銷售中</t>
        </is>
      </c>
      <c r="N571" s="5" t="inlineStr">
        <is>
          <t>L3</t>
        </is>
      </c>
      <c r="O571" s="5" t="inlineStr">
        <is>
          <t>https://knowhouse.tw/4883</t>
        </is>
      </c>
    </row>
    <row r="572">
      <c r="A572" s="5" t="n">
        <v>571</v>
      </c>
      <c r="B572" s="5" t="inlineStr">
        <is>
          <t>彰化縣</t>
        </is>
      </c>
      <c r="C572" s="5" t="inlineStr">
        <is>
          <t>A21010</t>
        </is>
      </c>
      <c r="D572" s="5" t="inlineStr">
        <is>
          <t>changhua</t>
        </is>
      </c>
      <c r="E572" s="5" t="inlineStr">
        <is>
          <t>（全台自辦重劃密度最高）</t>
        </is>
      </c>
      <c r="F572" s="5" t="inlineStr">
        <is>
          <t>自辦市地重劃</t>
        </is>
      </c>
      <c r="G572" s="5" t="inlineStr">
        <is>
          <t>璞樹心悅</t>
        </is>
      </c>
      <c r="H572" s="5" t="inlineStr">
        <is>
          <t>翔勝建設</t>
        </is>
      </c>
      <c r="I572" s="5" t="inlineStr"/>
      <c r="J572" s="5" t="inlineStr"/>
      <c r="K572" s="5" t="inlineStr"/>
      <c r="L572" s="5" t="inlineStr"/>
      <c r="M572" s="5" t="inlineStr">
        <is>
          <t>銷售中</t>
        </is>
      </c>
      <c r="N572" s="5" t="inlineStr">
        <is>
          <t>L3</t>
        </is>
      </c>
      <c r="O572" s="5" t="inlineStr">
        <is>
          <t>https://taichung.housetube.tw/44208</t>
        </is>
      </c>
    </row>
    <row r="573">
      <c r="A573" s="5" t="n">
        <v>572</v>
      </c>
      <c r="B573" s="5" t="inlineStr">
        <is>
          <t>彰化縣</t>
        </is>
      </c>
      <c r="C573" s="5" t="inlineStr">
        <is>
          <t>A21010</t>
        </is>
      </c>
      <c r="D573" s="5" t="inlineStr">
        <is>
          <t>changhua</t>
        </is>
      </c>
      <c r="E573" s="5" t="inlineStr">
        <is>
          <t>舊市區零星都更</t>
        </is>
      </c>
      <c r="F573" s="5" t="inlineStr">
        <is>
          <t>都市更新</t>
        </is>
      </c>
      <c r="G573" s="5" t="inlineStr">
        <is>
          <t>永安夜市都更案（允將建設）</t>
        </is>
      </c>
      <c r="H573" s="5" t="inlineStr">
        <is>
          <t>允將建設</t>
        </is>
      </c>
      <c r="I573" s="5" t="inlineStr">
        <is>
          <t>2200戶</t>
        </is>
      </c>
      <c r="J573" s="5" t="inlineStr"/>
      <c r="K573" s="5" t="inlineStr"/>
      <c r="L573" s="5" t="inlineStr"/>
      <c r="M573" s="5" t="inlineStr">
        <is>
          <t>興建中</t>
        </is>
      </c>
      <c r="N573" s="5" t="inlineStr">
        <is>
          <t>L3</t>
        </is>
      </c>
      <c r="O573" s="5" t="inlineStr">
        <is>
          <t>https://94m.com.tw/articles/62a263；https://fnc.ebc.net.tw/fncnews/headline/211202</t>
        </is>
      </c>
    </row>
    <row r="574">
      <c r="A574" s="5" t="n">
        <v>573</v>
      </c>
      <c r="B574" s="5" t="inlineStr">
        <is>
          <t>彰化縣</t>
        </is>
      </c>
      <c r="C574" s="5" t="inlineStr">
        <is>
          <t>A21010</t>
        </is>
      </c>
      <c r="D574" s="5" t="inlineStr">
        <is>
          <t>changhua</t>
        </is>
      </c>
      <c r="E574" s="5" t="inlineStr">
        <is>
          <t>舊市區零星都更</t>
        </is>
      </c>
      <c r="F574" s="5" t="inlineStr">
        <is>
          <t>都市更新</t>
        </is>
      </c>
      <c r="G574" s="5" t="inlineStr">
        <is>
          <t>員林黃金帝國公辦都更</t>
        </is>
      </c>
      <c r="H574" s="5" t="inlineStr">
        <is>
          <t>公開評選中</t>
        </is>
      </c>
      <c r="I574" s="5" t="inlineStr"/>
      <c r="J574" s="5" t="inlineStr"/>
      <c r="K574" s="5" t="inlineStr"/>
      <c r="L574" s="5" t="inlineStr"/>
      <c r="M574" s="5" t="inlineStr">
        <is>
          <t>招商中</t>
        </is>
      </c>
      <c r="N574" s="5" t="inlineStr">
        <is>
          <t>L3</t>
        </is>
      </c>
      <c r="O574" s="5" t="inlineStr">
        <is>
          <t>https://news.owlting.com/articles/1438226</t>
        </is>
      </c>
    </row>
    <row r="575">
      <c r="A575" s="5" t="n">
        <v>574</v>
      </c>
      <c r="B575" s="5" t="inlineStr">
        <is>
          <t>南投縣</t>
        </is>
      </c>
      <c r="C575" s="5" t="inlineStr">
        <is>
          <t>A21022</t>
        </is>
      </c>
      <c r="D575" s="5" t="inlineStr">
        <is>
          <t>nantou</t>
        </is>
      </c>
      <c r="E575" s="5" t="inlineStr">
        <is>
          <t>縣治小型公辦案</t>
        </is>
      </c>
      <c r="F575" s="5" t="inlineStr">
        <is>
          <t>公辦市地重劃</t>
        </is>
      </c>
      <c r="G575" s="5" t="inlineStr">
        <is>
          <t>漳和安居（社會住宅）</t>
        </is>
      </c>
      <c r="H575" s="5" t="inlineStr">
        <is>
          <t>國家住都中心</t>
        </is>
      </c>
      <c r="I575" s="5" t="inlineStr">
        <is>
          <t>278戶</t>
        </is>
      </c>
      <c r="J575" s="5" t="inlineStr"/>
      <c r="K575" s="5" t="inlineStr"/>
      <c r="L575" s="5" t="inlineStr"/>
      <c r="M575" s="5" t="inlineStr">
        <is>
          <t>興建中</t>
        </is>
      </c>
      <c r="N575" s="5" t="inlineStr">
        <is>
          <t>L3</t>
        </is>
      </c>
      <c r="O575" s="5" t="inlineStr">
        <is>
          <t>https://54aming.com/news/eb2414；https://annewsmedia.com/2024/11/27/regional-focus/1599/</t>
        </is>
      </c>
    </row>
    <row r="576">
      <c r="A576" s="5" t="n">
        <v>575</v>
      </c>
      <c r="B576" s="5" t="inlineStr">
        <is>
          <t>南投縣</t>
        </is>
      </c>
      <c r="C576" s="5" t="inlineStr">
        <is>
          <t>A21022</t>
        </is>
      </c>
      <c r="D576" s="5" t="inlineStr">
        <is>
          <t>nantou</t>
        </is>
      </c>
      <c r="E576" s="5" t="inlineStr">
        <is>
          <t>縣治小型公辦案</t>
        </is>
      </c>
      <c r="F576" s="5" t="inlineStr">
        <is>
          <t>公辦市地重劃</t>
        </is>
      </c>
      <c r="G576" s="5" t="inlineStr">
        <is>
          <t>桐興一號</t>
        </is>
      </c>
      <c r="H576" s="5" t="inlineStr">
        <is>
          <t>民章企業</t>
        </is>
      </c>
      <c r="I576" s="5" t="inlineStr"/>
      <c r="J576" s="5" t="inlineStr">
        <is>
          <t>29.19-33.7坪</t>
        </is>
      </c>
      <c r="K576" s="5" t="inlineStr"/>
      <c r="L576" s="5" t="inlineStr"/>
      <c r="M576" s="5" t="inlineStr">
        <is>
          <t>銷售中</t>
        </is>
      </c>
      <c r="N576" s="5" t="inlineStr">
        <is>
          <t>L3</t>
        </is>
      </c>
      <c r="O576" s="5" t="inlineStr">
        <is>
          <t>https://taichung.housetube.tw/32630</t>
        </is>
      </c>
    </row>
    <row r="577">
      <c r="A577" s="5" t="n">
        <v>576</v>
      </c>
      <c r="B577" s="5" t="inlineStr">
        <is>
          <t>南投縣</t>
        </is>
      </c>
      <c r="C577" s="5" t="inlineStr">
        <is>
          <t>A21022</t>
        </is>
      </c>
      <c r="D577" s="5" t="inlineStr">
        <is>
          <t>nantou</t>
        </is>
      </c>
      <c r="E577" s="5" t="inlineStr">
        <is>
          <t>縣治小型公辦案</t>
        </is>
      </c>
      <c r="F577" s="5" t="inlineStr">
        <is>
          <t>公辦市地重劃</t>
        </is>
      </c>
      <c r="G577" s="5" t="inlineStr">
        <is>
          <t>永旺創未來1</t>
        </is>
      </c>
      <c r="H577" s="5" t="inlineStr">
        <is>
          <t>永旺開發</t>
        </is>
      </c>
      <c r="I577" s="5" t="inlineStr"/>
      <c r="J577" s="5" t="inlineStr">
        <is>
          <t>30坪(地坪)</t>
        </is>
      </c>
      <c r="K577" s="5" t="inlineStr"/>
      <c r="L577" s="5" t="inlineStr"/>
      <c r="M577" s="5" t="inlineStr">
        <is>
          <t>銷售中</t>
        </is>
      </c>
      <c r="N577" s="5" t="inlineStr">
        <is>
          <t>L3</t>
        </is>
      </c>
      <c r="O577" s="5" t="inlineStr">
        <is>
          <t>https://taichung.housetube.tw/40684</t>
        </is>
      </c>
    </row>
    <row r="578">
      <c r="A578" s="5" t="n">
        <v>577</v>
      </c>
      <c r="B578" s="5" t="inlineStr">
        <is>
          <t>南投縣</t>
        </is>
      </c>
      <c r="C578" s="5" t="inlineStr">
        <is>
          <t>A21022</t>
        </is>
      </c>
      <c r="D578" s="5" t="inlineStr">
        <is>
          <t>nantou</t>
        </is>
      </c>
      <c r="E578" s="5" t="inlineStr">
        <is>
          <t>縣治小型公辦案</t>
        </is>
      </c>
      <c r="F578" s="5" t="inlineStr">
        <is>
          <t>公辦市地重劃</t>
        </is>
      </c>
      <c r="G578" s="5" t="inlineStr">
        <is>
          <t>玖岩豐華</t>
        </is>
      </c>
      <c r="H578" s="5" t="inlineStr">
        <is>
          <t>玖岩建設</t>
        </is>
      </c>
      <c r="I578" s="5" t="inlineStr">
        <is>
          <t>45戶</t>
        </is>
      </c>
      <c r="J578" s="5" t="inlineStr">
        <is>
          <t>24-31坪(地坪)</t>
        </is>
      </c>
      <c r="K578" s="5" t="inlineStr"/>
      <c r="L578" s="5" t="inlineStr"/>
      <c r="M578" s="5" t="inlineStr">
        <is>
          <t>已完工</t>
        </is>
      </c>
      <c r="N578" s="5" t="inlineStr">
        <is>
          <t>L3</t>
        </is>
      </c>
      <c r="O578" s="5" t="inlineStr">
        <is>
          <t>https://taichung.housetube.tw/44419</t>
        </is>
      </c>
    </row>
    <row r="579">
      <c r="A579" s="5" t="n">
        <v>578</v>
      </c>
      <c r="B579" s="5" t="inlineStr">
        <is>
          <t>南投縣</t>
        </is>
      </c>
      <c r="C579" s="5" t="inlineStr">
        <is>
          <t>A21022</t>
        </is>
      </c>
      <c r="D579" s="5" t="inlineStr">
        <is>
          <t>nantou</t>
        </is>
      </c>
      <c r="E579" s="5" t="inlineStr">
        <is>
          <t>縣治小型公辦案</t>
        </is>
      </c>
      <c r="F579" s="5" t="inlineStr">
        <is>
          <t>公辦市地重劃</t>
        </is>
      </c>
      <c r="G579" s="5" t="inlineStr">
        <is>
          <t>馥鈺森活</t>
        </is>
      </c>
      <c r="H579" s="5" t="inlineStr">
        <is>
          <t>德鼎建設</t>
        </is>
      </c>
      <c r="I579" s="5" t="inlineStr"/>
      <c r="J579" s="5" t="inlineStr">
        <is>
          <t>28-33坪(地坪)/46-56坪(建坪)</t>
        </is>
      </c>
      <c r="K579" s="5" t="inlineStr"/>
      <c r="L579" s="5" t="inlineStr"/>
      <c r="M579" s="5" t="inlineStr">
        <is>
          <t>銷售中</t>
        </is>
      </c>
      <c r="N579" s="5" t="inlineStr">
        <is>
          <t>L3</t>
        </is>
      </c>
      <c r="O579" s="5" t="inlineStr">
        <is>
          <t>https://taichung.housetube.tw/23472</t>
        </is>
      </c>
    </row>
    <row r="580">
      <c r="A580" s="5" t="n">
        <v>579</v>
      </c>
      <c r="B580" s="5" t="inlineStr">
        <is>
          <t>南投縣</t>
        </is>
      </c>
      <c r="C580" s="5" t="inlineStr">
        <is>
          <t>A21022</t>
        </is>
      </c>
      <c r="D580" s="5" t="inlineStr">
        <is>
          <t>nantou</t>
        </is>
      </c>
      <c r="E580" s="5" t="inlineStr">
        <is>
          <t>縣治小型公辦案</t>
        </is>
      </c>
      <c r="F580" s="5" t="inlineStr">
        <is>
          <t>公辦市地重劃</t>
        </is>
      </c>
      <c r="G580" s="5" t="inlineStr">
        <is>
          <t>東方美境</t>
        </is>
      </c>
      <c r="H580" s="5" t="inlineStr">
        <is>
          <t>東方美建設/信品建設</t>
        </is>
      </c>
      <c r="I580" s="5" t="inlineStr"/>
      <c r="J580" s="5" t="inlineStr">
        <is>
          <t>25-37坪(地坪)/50-70坪(建坪)</t>
        </is>
      </c>
      <c r="K580" s="5" t="inlineStr"/>
      <c r="L580" s="5" t="inlineStr"/>
      <c r="M580" s="5" t="inlineStr">
        <is>
          <t>銷售中</t>
        </is>
      </c>
      <c r="N580" s="5" t="inlineStr">
        <is>
          <t>L3</t>
        </is>
      </c>
      <c r="O580" s="5" t="inlineStr">
        <is>
          <t>https://taichung.housetube.tw/25951</t>
        </is>
      </c>
    </row>
    <row r="581">
      <c r="A581" s="5" t="n">
        <v>580</v>
      </c>
      <c r="B581" s="5" t="inlineStr">
        <is>
          <t>南投縣</t>
        </is>
      </c>
      <c r="C581" s="5" t="inlineStr">
        <is>
          <t>A21022</t>
        </is>
      </c>
      <c r="D581" s="5" t="inlineStr">
        <is>
          <t>nantou</t>
        </is>
      </c>
      <c r="E581" s="5" t="inlineStr">
        <is>
          <t>埔里自辦重劃</t>
        </is>
      </c>
      <c r="F581" s="5" t="inlineStr">
        <is>
          <t>自辦市地重劃</t>
        </is>
      </c>
      <c r="G581" s="5" t="inlineStr">
        <is>
          <t>甚美New天嵐</t>
        </is>
      </c>
      <c r="H581" s="5" t="inlineStr">
        <is>
          <t>甚美建設</t>
        </is>
      </c>
      <c r="I581" s="5" t="inlineStr"/>
      <c r="J581" s="5" t="inlineStr">
        <is>
          <t>36-47.55坪(地坪)/74.8-108.04坪(建坪)</t>
        </is>
      </c>
      <c r="K581" s="5" t="inlineStr"/>
      <c r="L581" s="5" t="inlineStr"/>
      <c r="M581" s="5" t="inlineStr">
        <is>
          <t>銷售中</t>
        </is>
      </c>
      <c r="N581" s="5" t="inlineStr">
        <is>
          <t>L3</t>
        </is>
      </c>
      <c r="O581" s="5" t="inlineStr">
        <is>
          <t>https://taichung.housetube.tw/35391</t>
        </is>
      </c>
    </row>
    <row r="582">
      <c r="A582" s="5" t="n">
        <v>581</v>
      </c>
      <c r="B582" s="5" t="inlineStr">
        <is>
          <t>南投縣</t>
        </is>
      </c>
      <c r="C582" s="5" t="inlineStr">
        <is>
          <t>A21022</t>
        </is>
      </c>
      <c r="D582" s="5" t="inlineStr">
        <is>
          <t>nantou</t>
        </is>
      </c>
      <c r="E582" s="5" t="inlineStr">
        <is>
          <t>埔里自辦重劃</t>
        </is>
      </c>
      <c r="F582" s="5" t="inlineStr">
        <is>
          <t>自辦市地重劃</t>
        </is>
      </c>
      <c r="G582" s="5" t="inlineStr">
        <is>
          <t>悅居天境NO.11</t>
        </is>
      </c>
      <c r="H582" s="5" t="inlineStr">
        <is>
          <t>悅居建設</t>
        </is>
      </c>
      <c r="I582" s="5" t="inlineStr"/>
      <c r="J582" s="5" t="inlineStr">
        <is>
          <t>23-31坪(地坪)/58-68坪(建坪)</t>
        </is>
      </c>
      <c r="K582" s="5" t="inlineStr"/>
      <c r="L582" s="5" t="inlineStr"/>
      <c r="M582" s="5" t="inlineStr">
        <is>
          <t>銷售中</t>
        </is>
      </c>
      <c r="N582" s="5" t="inlineStr">
        <is>
          <t>L3</t>
        </is>
      </c>
      <c r="O582" s="5" t="inlineStr">
        <is>
          <t>https://taichung.housetube.tw/36810</t>
        </is>
      </c>
    </row>
    <row r="583">
      <c r="A583" s="5" t="n">
        <v>582</v>
      </c>
      <c r="B583" s="5" t="inlineStr">
        <is>
          <t>南投縣</t>
        </is>
      </c>
      <c r="C583" s="5" t="inlineStr">
        <is>
          <t>A21022</t>
        </is>
      </c>
      <c r="D583" s="5" t="inlineStr">
        <is>
          <t>nantou</t>
        </is>
      </c>
      <c r="E583" s="5" t="inlineStr">
        <is>
          <t>埔里自辦重劃</t>
        </is>
      </c>
      <c r="F583" s="5" t="inlineStr">
        <is>
          <t>自辦市地重劃</t>
        </is>
      </c>
      <c r="G583" s="5" t="inlineStr">
        <is>
          <t>匠泰梅林匯</t>
        </is>
      </c>
      <c r="H583" s="5" t="inlineStr">
        <is>
          <t>匠泰開發</t>
        </is>
      </c>
      <c r="I583" s="5" t="inlineStr"/>
      <c r="J583" s="5" t="inlineStr">
        <is>
          <t>21.73-29坪</t>
        </is>
      </c>
      <c r="K583" s="5" t="inlineStr"/>
      <c r="L583" s="5" t="inlineStr"/>
      <c r="M583" s="5" t="inlineStr">
        <is>
          <t>銷售中</t>
        </is>
      </c>
      <c r="N583" s="5" t="inlineStr">
        <is>
          <t>L3</t>
        </is>
      </c>
      <c r="O583" s="5" t="inlineStr">
        <is>
          <t>https://taichung.housetube.tw/36617</t>
        </is>
      </c>
    </row>
    <row r="584">
      <c r="A584" s="5" t="n">
        <v>583</v>
      </c>
      <c r="B584" s="5" t="inlineStr">
        <is>
          <t>南投縣</t>
        </is>
      </c>
      <c r="C584" s="5" t="inlineStr">
        <is>
          <t>A21022</t>
        </is>
      </c>
      <c r="D584" s="5" t="inlineStr">
        <is>
          <t>nantou</t>
        </is>
      </c>
      <c r="E584" s="5" t="inlineStr">
        <is>
          <t>埔里自辦重劃</t>
        </is>
      </c>
      <c r="F584" s="5" t="inlineStr">
        <is>
          <t>自辦市地重劃</t>
        </is>
      </c>
      <c r="G584" s="5" t="inlineStr">
        <is>
          <t>日光一期</t>
        </is>
      </c>
      <c r="H584" s="5" t="inlineStr">
        <is>
          <t>堡冠建設</t>
        </is>
      </c>
      <c r="I584" s="5" t="inlineStr"/>
      <c r="J584" s="5" t="inlineStr">
        <is>
          <t>100坪起</t>
        </is>
      </c>
      <c r="K584" s="5" t="inlineStr"/>
      <c r="L584" s="5" t="inlineStr"/>
      <c r="M584" s="5" t="inlineStr">
        <is>
          <t>銷售中</t>
        </is>
      </c>
      <c r="N584" s="5" t="inlineStr">
        <is>
          <t>L3</t>
        </is>
      </c>
      <c r="O584" s="5" t="inlineStr">
        <is>
          <t>https://taichung.housetube.tw/24208</t>
        </is>
      </c>
    </row>
    <row r="585">
      <c r="A585" s="5" t="n">
        <v>584</v>
      </c>
      <c r="B585" s="5" t="inlineStr">
        <is>
          <t>南投縣</t>
        </is>
      </c>
      <c r="C585" s="5" t="inlineStr">
        <is>
          <t>A21022</t>
        </is>
      </c>
      <c r="D585" s="5" t="inlineStr">
        <is>
          <t>nantou</t>
        </is>
      </c>
      <c r="E585" s="5" t="inlineStr">
        <is>
          <t>埔里自辦重劃</t>
        </is>
      </c>
      <c r="F585" s="5" t="inlineStr">
        <is>
          <t>自辦市地重劃</t>
        </is>
      </c>
      <c r="G585" s="5" t="inlineStr">
        <is>
          <t>謙德御寶</t>
        </is>
      </c>
      <c r="H585" s="5" t="inlineStr">
        <is>
          <t>謙德建設</t>
        </is>
      </c>
      <c r="I585" s="5" t="inlineStr"/>
      <c r="J585" s="5" t="inlineStr">
        <is>
          <t>53-64坪(地坪)/95-112坪(建坪)</t>
        </is>
      </c>
      <c r="K585" s="5" t="inlineStr"/>
      <c r="L585" s="5" t="inlineStr"/>
      <c r="M585" s="5" t="inlineStr">
        <is>
          <t>銷售中</t>
        </is>
      </c>
      <c r="N585" s="5" t="inlineStr">
        <is>
          <t>L3</t>
        </is>
      </c>
      <c r="O585" s="5" t="inlineStr">
        <is>
          <t>https://taichung.housetube.tw/22639</t>
        </is>
      </c>
    </row>
    <row r="586">
      <c r="A586" s="5" t="n">
        <v>585</v>
      </c>
      <c r="B586" s="5" t="inlineStr">
        <is>
          <t>南投縣</t>
        </is>
      </c>
      <c r="C586" s="5" t="inlineStr">
        <is>
          <t>A21022</t>
        </is>
      </c>
      <c r="D586" s="5" t="inlineStr">
        <is>
          <t>nantou</t>
        </is>
      </c>
      <c r="E586" s="5" t="inlineStr">
        <is>
          <t>埔里自辦重劃</t>
        </is>
      </c>
      <c r="F586" s="5" t="inlineStr">
        <is>
          <t>自辦市地重劃</t>
        </is>
      </c>
      <c r="G586" s="5" t="inlineStr">
        <is>
          <t>青楓荷悅</t>
        </is>
      </c>
      <c r="H586" s="5" t="inlineStr">
        <is>
          <t>侑鑫建設</t>
        </is>
      </c>
      <c r="I586" s="5" t="inlineStr"/>
      <c r="J586" s="5" t="inlineStr">
        <is>
          <t>28.5-68.5坪(地坪)/60.7-84.6坪(建坪)</t>
        </is>
      </c>
      <c r="K586" s="5" t="inlineStr"/>
      <c r="L586" s="5" t="inlineStr"/>
      <c r="M586" s="5" t="inlineStr">
        <is>
          <t>銷售中</t>
        </is>
      </c>
      <c r="N586" s="5" t="inlineStr">
        <is>
          <t>L3</t>
        </is>
      </c>
      <c r="O586" s="5" t="inlineStr">
        <is>
          <t>https://taichung.housetube.tw/23864</t>
        </is>
      </c>
    </row>
    <row r="587">
      <c r="A587" s="5" t="n">
        <v>586</v>
      </c>
      <c r="B587" s="5" t="inlineStr">
        <is>
          <t>南投縣</t>
        </is>
      </c>
      <c r="C587" s="5" t="inlineStr">
        <is>
          <t>A21022</t>
        </is>
      </c>
      <c r="D587" s="5" t="inlineStr">
        <is>
          <t>nantou</t>
        </is>
      </c>
      <c r="E587" s="5" t="inlineStr">
        <is>
          <t>草屯自辦重劃</t>
        </is>
      </c>
      <c r="F587" s="5" t="inlineStr">
        <is>
          <t>自辦市地重劃</t>
        </is>
      </c>
      <c r="G587" s="5" t="inlineStr">
        <is>
          <t>萬寶聚和</t>
        </is>
      </c>
      <c r="H587" s="5" t="inlineStr">
        <is>
          <t>萬寶聚建設</t>
        </is>
      </c>
      <c r="I587" s="5" t="inlineStr"/>
      <c r="J587" s="5" t="inlineStr">
        <is>
          <t>42.95-43.56坪(地坪)/104.73-105.34坪(建坪)</t>
        </is>
      </c>
      <c r="K587" s="5" t="inlineStr"/>
      <c r="L587" s="5" t="inlineStr"/>
      <c r="M587" s="5" t="inlineStr">
        <is>
          <t>銷售中</t>
        </is>
      </c>
      <c r="N587" s="5" t="inlineStr">
        <is>
          <t>L3</t>
        </is>
      </c>
      <c r="O587" s="5" t="inlineStr">
        <is>
          <t>https://taichung.housetube.tw/41228</t>
        </is>
      </c>
    </row>
    <row r="588">
      <c r="A588" s="5" t="n">
        <v>587</v>
      </c>
      <c r="B588" s="5" t="inlineStr">
        <is>
          <t>南投縣</t>
        </is>
      </c>
      <c r="C588" s="5" t="inlineStr">
        <is>
          <t>A21022</t>
        </is>
      </c>
      <c r="D588" s="5" t="inlineStr">
        <is>
          <t>nantou</t>
        </is>
      </c>
      <c r="E588" s="5" t="inlineStr">
        <is>
          <t>草屯自辦重劃</t>
        </is>
      </c>
      <c r="F588" s="5" t="inlineStr">
        <is>
          <t>自辦市地重劃</t>
        </is>
      </c>
      <c r="G588" s="5" t="inlineStr">
        <is>
          <t>裕鑫麗景</t>
        </is>
      </c>
      <c r="H588" s="5" t="inlineStr">
        <is>
          <t>裕佳建設</t>
        </is>
      </c>
      <c r="I588" s="5" t="inlineStr"/>
      <c r="J588" s="5" t="inlineStr">
        <is>
          <t>42坪(地坪)/53坪(建坪)</t>
        </is>
      </c>
      <c r="K588" s="5" t="inlineStr"/>
      <c r="L588" s="5" t="inlineStr"/>
      <c r="M588" s="5" t="inlineStr">
        <is>
          <t>銷售中</t>
        </is>
      </c>
      <c r="N588" s="5" t="inlineStr">
        <is>
          <t>L3</t>
        </is>
      </c>
      <c r="O588" s="5" t="inlineStr">
        <is>
          <t>https://taichung.housetube.tw/35952</t>
        </is>
      </c>
    </row>
    <row r="589">
      <c r="A589" s="5" t="n">
        <v>588</v>
      </c>
      <c r="B589" s="5" t="inlineStr">
        <is>
          <t>南投縣</t>
        </is>
      </c>
      <c r="C589" s="5" t="inlineStr">
        <is>
          <t>A21022</t>
        </is>
      </c>
      <c r="D589" s="5" t="inlineStr">
        <is>
          <t>nantou</t>
        </is>
      </c>
      <c r="E589" s="5" t="inlineStr">
        <is>
          <t>草屯自辦重劃</t>
        </is>
      </c>
      <c r="F589" s="5" t="inlineStr">
        <is>
          <t>自辦市地重劃</t>
        </is>
      </c>
      <c r="G589" s="5" t="inlineStr">
        <is>
          <t>豎典皇築</t>
        </is>
      </c>
      <c r="H589" s="5" t="inlineStr">
        <is>
          <t>豎典皇建設</t>
        </is>
      </c>
      <c r="I589" s="5" t="inlineStr"/>
      <c r="J589" s="5" t="inlineStr">
        <is>
          <t>30-45坪(地坪)/53-68坪(建坪)</t>
        </is>
      </c>
      <c r="K589" s="5" t="inlineStr"/>
      <c r="L589" s="5" t="inlineStr"/>
      <c r="M589" s="5" t="inlineStr">
        <is>
          <t>銷售中</t>
        </is>
      </c>
      <c r="N589" s="5" t="inlineStr">
        <is>
          <t>L3</t>
        </is>
      </c>
      <c r="O589" s="5" t="inlineStr">
        <is>
          <t>https://taichung.housetube.tw/18525</t>
        </is>
      </c>
    </row>
    <row r="590">
      <c r="A590" s="5" t="n">
        <v>589</v>
      </c>
      <c r="B590" s="5" t="inlineStr">
        <is>
          <t>南投縣</t>
        </is>
      </c>
      <c r="C590" s="5" t="inlineStr">
        <is>
          <t>A21022</t>
        </is>
      </c>
      <c r="D590" s="5" t="inlineStr">
        <is>
          <t>nantou</t>
        </is>
      </c>
      <c r="E590" s="5" t="inlineStr">
        <is>
          <t>草屯自辦重劃</t>
        </is>
      </c>
      <c r="F590" s="5" t="inlineStr">
        <is>
          <t>自辦市地重劃</t>
        </is>
      </c>
      <c r="G590" s="5" t="inlineStr">
        <is>
          <t>惠來莫內花園</t>
        </is>
      </c>
      <c r="H590" s="5" t="inlineStr">
        <is>
          <t>世朋建設</t>
        </is>
      </c>
      <c r="I590" s="5" t="inlineStr"/>
      <c r="J590" s="5" t="inlineStr"/>
      <c r="K590" s="5" t="inlineStr"/>
      <c r="L590" s="5" t="inlineStr"/>
      <c r="M590" s="5" t="inlineStr">
        <is>
          <t>銷售中</t>
        </is>
      </c>
      <c r="N590" s="5" t="inlineStr">
        <is>
          <t>L3</t>
        </is>
      </c>
      <c r="O590" s="5" t="inlineStr">
        <is>
          <t>https://blog.housetube.tw/c8/1</t>
        </is>
      </c>
    </row>
    <row r="591">
      <c r="A591" s="5" t="n">
        <v>590</v>
      </c>
      <c r="B591" s="5" t="inlineStr">
        <is>
          <t>南投縣</t>
        </is>
      </c>
      <c r="C591" s="5" t="inlineStr">
        <is>
          <t>A21022</t>
        </is>
      </c>
      <c r="D591" s="5" t="inlineStr">
        <is>
          <t>nantou</t>
        </is>
      </c>
      <c r="E591" s="5" t="inlineStr">
        <is>
          <t>竹山自辦重劃</t>
        </is>
      </c>
      <c r="F591" s="5" t="inlineStr">
        <is>
          <t>自辦市地重劃</t>
        </is>
      </c>
      <c r="G591" s="5" t="inlineStr">
        <is>
          <t>鉅彩建設竹山新案</t>
        </is>
      </c>
      <c r="H591" s="5" t="inlineStr">
        <is>
          <t>鉅彩建設</t>
        </is>
      </c>
      <c r="I591" s="5" t="inlineStr"/>
      <c r="J591" s="5" t="inlineStr"/>
      <c r="K591" s="5" t="inlineStr"/>
      <c r="L591" s="5" t="inlineStr"/>
      <c r="M591" s="5" t="inlineStr">
        <is>
          <t>銷售中</t>
        </is>
      </c>
      <c r="N591" s="5" t="inlineStr">
        <is>
          <t>L3</t>
        </is>
      </c>
      <c r="O591" s="5" t="inlineStr">
        <is>
          <t>https://taichung.housetube.tw/43626</t>
        </is>
      </c>
    </row>
    <row r="592">
      <c r="A592" s="5" t="n">
        <v>591</v>
      </c>
      <c r="B592" s="5" t="inlineStr">
        <is>
          <t>南投縣</t>
        </is>
      </c>
      <c r="C592" s="5" t="inlineStr">
        <is>
          <t>A21022</t>
        </is>
      </c>
      <c r="D592" s="5" t="inlineStr">
        <is>
          <t>nantou</t>
        </is>
      </c>
      <c r="E592" s="5" t="inlineStr">
        <is>
          <t>竹山自辦重劃</t>
        </is>
      </c>
      <c r="F592" s="5" t="inlineStr">
        <is>
          <t>自辦市地重劃</t>
        </is>
      </c>
      <c r="G592" s="5" t="inlineStr">
        <is>
          <t>上上謙綠景花園別墅</t>
        </is>
      </c>
      <c r="H592" s="5" t="inlineStr">
        <is>
          <t>興塑利建設/冠登營造</t>
        </is>
      </c>
      <c r="I592" s="5" t="inlineStr"/>
      <c r="J592" s="5" t="inlineStr">
        <is>
          <t>33-41坪(地坪)/70-81坪(建坪)</t>
        </is>
      </c>
      <c r="K592" s="5" t="inlineStr"/>
      <c r="L592" s="5" t="inlineStr"/>
      <c r="M592" s="5" t="inlineStr">
        <is>
          <t>銷售中</t>
        </is>
      </c>
      <c r="N592" s="5" t="inlineStr">
        <is>
          <t>L3</t>
        </is>
      </c>
      <c r="O592" s="5" t="inlineStr">
        <is>
          <t>https://taichung.housetube.tw/25892</t>
        </is>
      </c>
    </row>
    <row r="593">
      <c r="A593" s="5" t="n">
        <v>592</v>
      </c>
      <c r="B593" s="5" t="inlineStr">
        <is>
          <t>南投縣</t>
        </is>
      </c>
      <c r="C593" s="5" t="inlineStr">
        <is>
          <t>A21022</t>
        </is>
      </c>
      <c r="D593" s="5" t="inlineStr">
        <is>
          <t>nantou</t>
        </is>
      </c>
      <c r="E593" s="5" t="inlineStr">
        <is>
          <t>竹山自辦重劃</t>
        </is>
      </c>
      <c r="F593" s="5" t="inlineStr">
        <is>
          <t>自辦市地重劃</t>
        </is>
      </c>
      <c r="G593" s="5" t="inlineStr">
        <is>
          <t>采翔天晴</t>
        </is>
      </c>
      <c r="H593" s="5" t="inlineStr">
        <is>
          <t>采翔建設</t>
        </is>
      </c>
      <c r="I593" s="5" t="inlineStr"/>
      <c r="J593" s="5" t="inlineStr">
        <is>
          <t>35-41坪(地坪)/48-68坪(建坪)</t>
        </is>
      </c>
      <c r="K593" s="5" t="inlineStr"/>
      <c r="L593" s="5" t="inlineStr"/>
      <c r="M593" s="5" t="inlineStr">
        <is>
          <t>銷售中</t>
        </is>
      </c>
      <c r="N593" s="5" t="inlineStr">
        <is>
          <t>L3</t>
        </is>
      </c>
      <c r="O593" s="5" t="inlineStr">
        <is>
          <t>https://taichung.housetube.tw/34281</t>
        </is>
      </c>
    </row>
    <row r="594">
      <c r="A594" s="5" t="n">
        <v>593</v>
      </c>
      <c r="B594" s="5" t="inlineStr">
        <is>
          <t>南投縣</t>
        </is>
      </c>
      <c r="C594" s="5" t="inlineStr">
        <is>
          <t>A21022</t>
        </is>
      </c>
      <c r="D594" s="5" t="inlineStr">
        <is>
          <t>nantou</t>
        </is>
      </c>
      <c r="E594" s="5" t="inlineStr">
        <is>
          <t>竹山自辦重劃</t>
        </is>
      </c>
      <c r="F594" s="5" t="inlineStr">
        <is>
          <t>自辦市地重劃</t>
        </is>
      </c>
      <c r="G594" s="5" t="inlineStr">
        <is>
          <t>夏綠蒂</t>
        </is>
      </c>
      <c r="H594" s="5" t="inlineStr">
        <is>
          <t>勇聚建設</t>
        </is>
      </c>
      <c r="I594" s="5" t="inlineStr"/>
      <c r="J594" s="5" t="inlineStr">
        <is>
          <t>96-138坪(地坪)/60坪起(建坪)</t>
        </is>
      </c>
      <c r="K594" s="5" t="inlineStr"/>
      <c r="L594" s="5" t="inlineStr"/>
      <c r="M594" s="5" t="inlineStr">
        <is>
          <t>銷售中</t>
        </is>
      </c>
      <c r="N594" s="5" t="inlineStr">
        <is>
          <t>L3</t>
        </is>
      </c>
      <c r="O594" s="5" t="inlineStr">
        <is>
          <t>https://taichung.housetube.tw/19050</t>
        </is>
      </c>
    </row>
    <row r="595">
      <c r="A595" s="5" t="n">
        <v>594</v>
      </c>
      <c r="B595" s="5" t="inlineStr">
        <is>
          <t>南投縣</t>
        </is>
      </c>
      <c r="C595" s="5" t="inlineStr">
        <is>
          <t>A21022</t>
        </is>
      </c>
      <c r="D595" s="5" t="inlineStr">
        <is>
          <t>nantou</t>
        </is>
      </c>
      <c r="E595" s="5" t="inlineStr">
        <is>
          <t>竹山自辦重劃</t>
        </is>
      </c>
      <c r="F595" s="5" t="inlineStr">
        <is>
          <t>自辦市地重劃</t>
        </is>
      </c>
      <c r="G595" s="5" t="inlineStr">
        <is>
          <t>幸福紫南</t>
        </is>
      </c>
      <c r="H595" s="5" t="inlineStr">
        <is>
          <t>君心建設</t>
        </is>
      </c>
      <c r="I595" s="5" t="inlineStr"/>
      <c r="J595" s="5" t="inlineStr">
        <is>
          <t>21-54坪(地坪)/31-50坪(建坪)</t>
        </is>
      </c>
      <c r="K595" s="5" t="inlineStr"/>
      <c r="L595" s="5" t="inlineStr"/>
      <c r="M595" s="5" t="inlineStr">
        <is>
          <t>已完銷</t>
        </is>
      </c>
      <c r="N595" s="5" t="inlineStr">
        <is>
          <t>L3</t>
        </is>
      </c>
      <c r="O595" s="5" t="inlineStr">
        <is>
          <t>https://knowhouse.tw/4876</t>
        </is>
      </c>
    </row>
    <row r="596">
      <c r="A596" s="5" t="n">
        <v>595</v>
      </c>
      <c r="B596" s="5" t="inlineStr">
        <is>
          <t>雲林縣</t>
        </is>
      </c>
      <c r="C596" s="5" t="inlineStr">
        <is>
          <t>A21011</t>
        </is>
      </c>
      <c r="D596" s="5" t="inlineStr">
        <is>
          <t>yunlin</t>
        </is>
      </c>
      <c r="E596" s="5" t="inlineStr">
        <is>
          <t>縣治小型公辦案</t>
        </is>
      </c>
      <c r="F596" s="5" t="inlineStr">
        <is>
          <t>公辦市地重劃</t>
        </is>
      </c>
      <c r="G596" s="5" t="inlineStr">
        <is>
          <t>青森綠川</t>
        </is>
      </c>
      <c r="H596" s="5" t="inlineStr"/>
      <c r="I596" s="5" t="inlineStr">
        <is>
          <t>76戶</t>
        </is>
      </c>
      <c r="J596" s="5" t="inlineStr"/>
      <c r="K596" s="5" t="inlineStr">
        <is>
          <t>30-33萬/坪</t>
        </is>
      </c>
      <c r="L596" s="5" t="inlineStr"/>
      <c r="M596" s="5" t="inlineStr">
        <is>
          <t>已完工</t>
        </is>
      </c>
      <c r="N596" s="5" t="inlineStr">
        <is>
          <t>L3</t>
        </is>
      </c>
      <c r="O596" s="5" t="inlineStr">
        <is>
          <t>https://www.leju.com.tw/community_list?city=P&amp;is_new=1&amp;p=3</t>
        </is>
      </c>
    </row>
    <row r="597">
      <c r="A597" s="5" t="n">
        <v>596</v>
      </c>
      <c r="B597" s="5" t="inlineStr">
        <is>
          <t>雲林縣</t>
        </is>
      </c>
      <c r="C597" s="5" t="inlineStr">
        <is>
          <t>A21011</t>
        </is>
      </c>
      <c r="D597" s="5" t="inlineStr">
        <is>
          <t>yunlin</t>
        </is>
      </c>
      <c r="E597" s="5" t="inlineStr">
        <is>
          <t>縣治小型公辦案</t>
        </is>
      </c>
      <c r="F597" s="5" t="inlineStr">
        <is>
          <t>公辦市地重劃</t>
        </is>
      </c>
      <c r="G597" s="5" t="inlineStr">
        <is>
          <t>瓏騰瓏藝</t>
        </is>
      </c>
      <c r="H597" s="5" t="inlineStr"/>
      <c r="I597" s="5" t="inlineStr">
        <is>
          <t>44戶</t>
        </is>
      </c>
      <c r="J597" s="5" t="inlineStr"/>
      <c r="K597" s="5" t="inlineStr">
        <is>
          <t>26-28萬/坪</t>
        </is>
      </c>
      <c r="L597" s="5" t="inlineStr"/>
      <c r="M597" s="5" t="inlineStr">
        <is>
          <t>銷售中</t>
        </is>
      </c>
      <c r="N597" s="5" t="inlineStr">
        <is>
          <t>L3</t>
        </is>
      </c>
      <c r="O597" s="5" t="inlineStr">
        <is>
          <t>https://www.leju.com.tw/community_list?area=P640&amp;city=P&amp;is_new=1</t>
        </is>
      </c>
    </row>
    <row r="598">
      <c r="A598" s="5" t="n">
        <v>597</v>
      </c>
      <c r="B598" s="5" t="inlineStr">
        <is>
          <t>雲林縣</t>
        </is>
      </c>
      <c r="C598" s="5" t="inlineStr">
        <is>
          <t>A21011</t>
        </is>
      </c>
      <c r="D598" s="5" t="inlineStr">
        <is>
          <t>yunlin</t>
        </is>
      </c>
      <c r="E598" s="5" t="inlineStr">
        <is>
          <t>縣治小型公辦案</t>
        </is>
      </c>
      <c r="F598" s="5" t="inlineStr">
        <is>
          <t>公辦市地重劃</t>
        </is>
      </c>
      <c r="G598" s="5" t="inlineStr">
        <is>
          <t>緻匯</t>
        </is>
      </c>
      <c r="H598" s="5" t="inlineStr">
        <is>
          <t>姮興開發</t>
        </is>
      </c>
      <c r="I598" s="5" t="inlineStr"/>
      <c r="J598" s="5" t="inlineStr"/>
      <c r="K598" s="5" t="inlineStr"/>
      <c r="L598" s="5" t="inlineStr"/>
      <c r="M598" s="5" t="inlineStr">
        <is>
          <t>預售</t>
        </is>
      </c>
      <c r="N598" s="5" t="inlineStr">
        <is>
          <t>L3</t>
        </is>
      </c>
      <c r="O598" s="5" t="inlineStr">
        <is>
          <t>https://newhouse.591.com.tw/137838</t>
        </is>
      </c>
    </row>
    <row r="599">
      <c r="A599" s="5" t="n">
        <v>598</v>
      </c>
      <c r="B599" s="5" t="inlineStr">
        <is>
          <t>雲林縣</t>
        </is>
      </c>
      <c r="C599" s="5" t="inlineStr">
        <is>
          <t>A21011</t>
        </is>
      </c>
      <c r="D599" s="5" t="inlineStr">
        <is>
          <t>yunlin</t>
        </is>
      </c>
      <c r="E599" s="5" t="inlineStr">
        <is>
          <t>縣治小型公辦案</t>
        </is>
      </c>
      <c r="F599" s="5" t="inlineStr">
        <is>
          <t>公辦市地重劃</t>
        </is>
      </c>
      <c r="G599" s="5" t="inlineStr">
        <is>
          <t>鄉林雲峰</t>
        </is>
      </c>
      <c r="H599" s="5" t="inlineStr">
        <is>
          <t>鄉林建設</t>
        </is>
      </c>
      <c r="I599" s="5" t="inlineStr"/>
      <c r="J599" s="5" t="inlineStr"/>
      <c r="K599" s="5" t="inlineStr"/>
      <c r="L599" s="5" t="inlineStr"/>
      <c r="M599" s="5" t="inlineStr">
        <is>
          <t>銷售中</t>
        </is>
      </c>
      <c r="N599" s="5" t="inlineStr">
        <is>
          <t>L3</t>
        </is>
      </c>
      <c r="O599" s="5" t="inlineStr">
        <is>
          <t>https://www.yuanfengmedia.tw/detail.php?catalog_id=25&amp;id=28916&amp;type=catalog</t>
        </is>
      </c>
    </row>
    <row r="600">
      <c r="A600" s="5" t="n">
        <v>599</v>
      </c>
      <c r="B600" s="5" t="inlineStr">
        <is>
          <t>雲林縣</t>
        </is>
      </c>
      <c r="C600" s="5" t="inlineStr">
        <is>
          <t>A21011</t>
        </is>
      </c>
      <c r="D600" s="5" t="inlineStr">
        <is>
          <t>yunlin</t>
        </is>
      </c>
      <c r="E600" s="5" t="inlineStr">
        <is>
          <t>斗六自辦重劃</t>
        </is>
      </c>
      <c r="F600" s="5" t="inlineStr">
        <is>
          <t>自辦市地重劃</t>
        </is>
      </c>
      <c r="G600" s="5" t="inlineStr">
        <is>
          <t>聖德淳風八期</t>
        </is>
      </c>
      <c r="H600" s="5" t="inlineStr">
        <is>
          <t>聖德建設</t>
        </is>
      </c>
      <c r="I600" s="5" t="inlineStr">
        <is>
          <t>55戶</t>
        </is>
      </c>
      <c r="J600" s="5" t="inlineStr">
        <is>
          <t>37-48坪</t>
        </is>
      </c>
      <c r="K600" s="5" t="inlineStr">
        <is>
          <t>32-38萬/坪</t>
        </is>
      </c>
      <c r="L600" s="5" t="inlineStr"/>
      <c r="M600" s="5" t="inlineStr">
        <is>
          <t>預售</t>
        </is>
      </c>
      <c r="N600" s="5" t="inlineStr">
        <is>
          <t>L3</t>
        </is>
      </c>
      <c r="O600" s="5" t="inlineStr">
        <is>
          <t>https://54aming.com/articles/54c376</t>
        </is>
      </c>
    </row>
    <row r="601">
      <c r="A601" s="5" t="n">
        <v>600</v>
      </c>
      <c r="B601" s="5" t="inlineStr">
        <is>
          <t>雲林縣</t>
        </is>
      </c>
      <c r="C601" s="5" t="inlineStr">
        <is>
          <t>A21011</t>
        </is>
      </c>
      <c r="D601" s="5" t="inlineStr">
        <is>
          <t>yunlin</t>
        </is>
      </c>
      <c r="E601" s="5" t="inlineStr">
        <is>
          <t>斗六自辦重劃</t>
        </is>
      </c>
      <c r="F601" s="5" t="inlineStr">
        <is>
          <t>自辦市地重劃</t>
        </is>
      </c>
      <c r="G601" s="5" t="inlineStr">
        <is>
          <t>雲水綠波</t>
        </is>
      </c>
      <c r="H601" s="5" t="inlineStr">
        <is>
          <t>元樸雅舍建設</t>
        </is>
      </c>
      <c r="I601" s="5" t="inlineStr"/>
      <c r="J601" s="5" t="inlineStr"/>
      <c r="K601" s="5" t="inlineStr"/>
      <c r="L601" s="5" t="inlineStr"/>
      <c r="M601" s="5" t="inlineStr">
        <is>
          <t>銷售中</t>
        </is>
      </c>
      <c r="N601" s="5" t="inlineStr">
        <is>
          <t>L3</t>
        </is>
      </c>
      <c r="O601" s="5" t="inlineStr">
        <is>
          <t>https://knowhouse.tw/2443</t>
        </is>
      </c>
    </row>
    <row r="602">
      <c r="A602" s="5" t="n">
        <v>601</v>
      </c>
      <c r="B602" s="5" t="inlineStr">
        <is>
          <t>雲林縣</t>
        </is>
      </c>
      <c r="C602" s="5" t="inlineStr">
        <is>
          <t>A21011</t>
        </is>
      </c>
      <c r="D602" s="5" t="inlineStr">
        <is>
          <t>yunlin</t>
        </is>
      </c>
      <c r="E602" s="5" t="inlineStr">
        <is>
          <t>斗六自辦重劃</t>
        </is>
      </c>
      <c r="F602" s="5" t="inlineStr">
        <is>
          <t>自辦市地重劃</t>
        </is>
      </c>
      <c r="G602" s="5" t="inlineStr">
        <is>
          <t>幸福A+計劃</t>
        </is>
      </c>
      <c r="H602" s="5" t="inlineStr">
        <is>
          <t>永宜建設</t>
        </is>
      </c>
      <c r="I602" s="5" t="inlineStr"/>
      <c r="J602" s="5" t="inlineStr">
        <is>
          <t>25坪起(地坪)/65坪起(建坪)</t>
        </is>
      </c>
      <c r="K602" s="5" t="inlineStr"/>
      <c r="L602" s="5" t="inlineStr"/>
      <c r="M602" s="5" t="inlineStr">
        <is>
          <t>已完工</t>
        </is>
      </c>
      <c r="N602" s="5" t="inlineStr">
        <is>
          <t>L3</t>
        </is>
      </c>
      <c r="O602" s="5" t="inlineStr">
        <is>
          <t>https://chiayi.housetube.tw/9862</t>
        </is>
      </c>
    </row>
    <row r="603">
      <c r="A603" s="5" t="n">
        <v>602</v>
      </c>
      <c r="B603" s="5" t="inlineStr">
        <is>
          <t>雲林縣</t>
        </is>
      </c>
      <c r="C603" s="5" t="inlineStr">
        <is>
          <t>A21011</t>
        </is>
      </c>
      <c r="D603" s="5" t="inlineStr">
        <is>
          <t>yunlin</t>
        </is>
      </c>
      <c r="E603" s="5" t="inlineStr">
        <is>
          <t>斗六自辦重劃</t>
        </is>
      </c>
      <c r="F603" s="5" t="inlineStr">
        <is>
          <t>自辦市地重劃</t>
        </is>
      </c>
      <c r="G603" s="5" t="inlineStr">
        <is>
          <t>重光三悅</t>
        </is>
      </c>
      <c r="H603" s="5" t="inlineStr"/>
      <c r="I603" s="5" t="inlineStr"/>
      <c r="J603" s="5" t="inlineStr">
        <is>
          <t>64坪</t>
        </is>
      </c>
      <c r="K603" s="5" t="inlineStr"/>
      <c r="L603" s="5" t="inlineStr"/>
      <c r="M603" s="5" t="inlineStr">
        <is>
          <t>已完工</t>
        </is>
      </c>
      <c r="N603" s="5" t="inlineStr">
        <is>
          <t>L3</t>
        </is>
      </c>
      <c r="O603" s="5" t="inlineStr">
        <is>
          <t>https://chiayi.housetube.tw/51946</t>
        </is>
      </c>
    </row>
    <row r="604">
      <c r="A604" s="5" t="n">
        <v>603</v>
      </c>
      <c r="B604" s="5" t="inlineStr">
        <is>
          <t>雲林縣</t>
        </is>
      </c>
      <c r="C604" s="5" t="inlineStr">
        <is>
          <t>A21011</t>
        </is>
      </c>
      <c r="D604" s="5" t="inlineStr">
        <is>
          <t>yunlin</t>
        </is>
      </c>
      <c r="E604" s="5" t="inlineStr">
        <is>
          <t>虎尾自辦重劃</t>
        </is>
      </c>
      <c r="F604" s="5" t="inlineStr">
        <is>
          <t>自辦市地重劃</t>
        </is>
      </c>
      <c r="G604" s="5" t="inlineStr">
        <is>
          <t>京綻</t>
        </is>
      </c>
      <c r="H604" s="5" t="inlineStr">
        <is>
          <t>廣瓏建設</t>
        </is>
      </c>
      <c r="I604" s="5" t="inlineStr">
        <is>
          <t>8戶</t>
        </is>
      </c>
      <c r="J604" s="5" t="inlineStr"/>
      <c r="K604" s="5" t="inlineStr"/>
      <c r="L604" s="5" t="inlineStr"/>
      <c r="M604" s="5" t="inlineStr">
        <is>
          <t>預售</t>
        </is>
      </c>
      <c r="N604" s="5" t="inlineStr">
        <is>
          <t>L3</t>
        </is>
      </c>
      <c r="O604" s="5" t="inlineStr">
        <is>
          <t>https://newhouse.591.com.tw/141627</t>
        </is>
      </c>
    </row>
    <row r="605">
      <c r="A605" s="5" t="n">
        <v>604</v>
      </c>
      <c r="B605" s="5" t="inlineStr">
        <is>
          <t>雲林縣</t>
        </is>
      </c>
      <c r="C605" s="5" t="inlineStr">
        <is>
          <t>A21011</t>
        </is>
      </c>
      <c r="D605" s="5" t="inlineStr">
        <is>
          <t>yunlin</t>
        </is>
      </c>
      <c r="E605" s="5" t="inlineStr">
        <is>
          <t>虎尾自辦重劃</t>
        </is>
      </c>
      <c r="F605" s="5" t="inlineStr">
        <is>
          <t>自辦市地重劃</t>
        </is>
      </c>
      <c r="G605" s="5" t="inlineStr">
        <is>
          <t>農博御景</t>
        </is>
      </c>
      <c r="H605" s="5" t="inlineStr">
        <is>
          <t>陸旺建設</t>
        </is>
      </c>
      <c r="I605" s="5" t="inlineStr"/>
      <c r="J605" s="5" t="inlineStr">
        <is>
          <t>28-40坪(地坪)/58-66坪(建坪)</t>
        </is>
      </c>
      <c r="K605" s="5" t="inlineStr"/>
      <c r="L605" s="5" t="inlineStr"/>
      <c r="M605" s="5" t="inlineStr">
        <is>
          <t>銷售中</t>
        </is>
      </c>
      <c r="N605" s="5" t="inlineStr">
        <is>
          <t>L3</t>
        </is>
      </c>
      <c r="O605" s="5" t="inlineStr">
        <is>
          <t>https://chiayi.housetube.tw/28800</t>
        </is>
      </c>
    </row>
    <row r="606">
      <c r="A606" s="5" t="n">
        <v>605</v>
      </c>
      <c r="B606" s="5" t="inlineStr">
        <is>
          <t>雲林縣</t>
        </is>
      </c>
      <c r="C606" s="5" t="inlineStr">
        <is>
          <t>A21011</t>
        </is>
      </c>
      <c r="D606" s="5" t="inlineStr">
        <is>
          <t>yunlin</t>
        </is>
      </c>
      <c r="E606" s="5" t="inlineStr">
        <is>
          <t>虎尾自辦重劃</t>
        </is>
      </c>
      <c r="F606" s="5" t="inlineStr">
        <is>
          <t>自辦市地重劃</t>
        </is>
      </c>
      <c r="G606" s="5" t="inlineStr">
        <is>
          <t>聖德淳風六期</t>
        </is>
      </c>
      <c r="H606" s="5" t="inlineStr">
        <is>
          <t>聖德建設</t>
        </is>
      </c>
      <c r="I606" s="5" t="inlineStr">
        <is>
          <t>120戶</t>
        </is>
      </c>
      <c r="J606" s="5" t="inlineStr"/>
      <c r="K606" s="5" t="inlineStr"/>
      <c r="L606" s="5" t="inlineStr"/>
      <c r="M606" s="5" t="inlineStr">
        <is>
          <t>預售</t>
        </is>
      </c>
      <c r="N606" s="5" t="inlineStr">
        <is>
          <t>L3</t>
        </is>
      </c>
      <c r="O606" s="5" t="inlineStr">
        <is>
          <t>https://54aming.com/articles/31483a</t>
        </is>
      </c>
    </row>
    <row r="607">
      <c r="A607" s="5" t="n">
        <v>606</v>
      </c>
      <c r="B607" s="5" t="inlineStr">
        <is>
          <t>雲林縣</t>
        </is>
      </c>
      <c r="C607" s="5" t="inlineStr">
        <is>
          <t>A21011</t>
        </is>
      </c>
      <c r="D607" s="5" t="inlineStr">
        <is>
          <t>yunlin</t>
        </is>
      </c>
      <c r="E607" s="5" t="inlineStr">
        <is>
          <t>虎尾自辦重劃</t>
        </is>
      </c>
      <c r="F607" s="5" t="inlineStr">
        <is>
          <t>自辦市地重劃</t>
        </is>
      </c>
      <c r="G607" s="5" t="inlineStr">
        <is>
          <t>心願景</t>
        </is>
      </c>
      <c r="H607" s="5" t="inlineStr">
        <is>
          <t>鶴祥建設</t>
        </is>
      </c>
      <c r="I607" s="5" t="inlineStr"/>
      <c r="J607" s="5" t="inlineStr">
        <is>
          <t>33-63坪(地坪)/55.5-58.5坪(建坪)</t>
        </is>
      </c>
      <c r="K607" s="5" t="inlineStr"/>
      <c r="L607" s="5" t="inlineStr"/>
      <c r="M607" s="5" t="inlineStr">
        <is>
          <t>已完銷</t>
        </is>
      </c>
      <c r="N607" s="5" t="inlineStr">
        <is>
          <t>L3</t>
        </is>
      </c>
      <c r="O607" s="5" t="inlineStr">
        <is>
          <t>https://knowhouse.tw/2701</t>
        </is>
      </c>
    </row>
    <row r="608">
      <c r="A608" s="5" t="n">
        <v>607</v>
      </c>
      <c r="B608" s="5" t="inlineStr">
        <is>
          <t>雲林縣</t>
        </is>
      </c>
      <c r="C608" s="5" t="inlineStr">
        <is>
          <t>A21011</t>
        </is>
      </c>
      <c r="D608" s="5" t="inlineStr">
        <is>
          <t>yunlin</t>
        </is>
      </c>
      <c r="E608" s="5" t="inlineStr">
        <is>
          <t>虎尾自辦重劃</t>
        </is>
      </c>
      <c r="F608" s="5" t="inlineStr">
        <is>
          <t>自辦市地重劃</t>
        </is>
      </c>
      <c r="G608" s="5" t="inlineStr">
        <is>
          <t>翔富文匯13</t>
        </is>
      </c>
      <c r="H608" s="5" t="inlineStr">
        <is>
          <t>翔富營造</t>
        </is>
      </c>
      <c r="I608" s="5" t="inlineStr">
        <is>
          <t>11戶</t>
        </is>
      </c>
      <c r="J608" s="5" t="inlineStr">
        <is>
          <t>24坪(地坪)/40坪(建坪)</t>
        </is>
      </c>
      <c r="K608" s="5" t="inlineStr"/>
      <c r="L608" s="5" t="inlineStr"/>
      <c r="M608" s="5" t="inlineStr">
        <is>
          <t>已完銷</t>
        </is>
      </c>
      <c r="N608" s="5" t="inlineStr">
        <is>
          <t>L3</t>
        </is>
      </c>
      <c r="O608" s="5" t="inlineStr">
        <is>
          <t>https://knowhouse.tw/4013</t>
        </is>
      </c>
    </row>
    <row r="609">
      <c r="A609" s="5" t="n">
        <v>608</v>
      </c>
      <c r="B609" s="5" t="inlineStr">
        <is>
          <t>雲林縣</t>
        </is>
      </c>
      <c r="C609" s="5" t="inlineStr">
        <is>
          <t>A21011</t>
        </is>
      </c>
      <c r="D609" s="5" t="inlineStr">
        <is>
          <t>yunlin</t>
        </is>
      </c>
      <c r="E609" s="5" t="inlineStr">
        <is>
          <t>北港自辦重劃</t>
        </is>
      </c>
      <c r="F609" s="5" t="inlineStr">
        <is>
          <t>自辦市地重劃</t>
        </is>
      </c>
      <c r="G609" s="5" t="inlineStr">
        <is>
          <t>和立堡晴川</t>
        </is>
      </c>
      <c r="H609" s="5" t="inlineStr">
        <is>
          <t>和立堡建設</t>
        </is>
      </c>
      <c r="I609" s="5" t="inlineStr">
        <is>
          <t>70戶</t>
        </is>
      </c>
      <c r="J609" s="5" t="inlineStr"/>
      <c r="K609" s="5" t="inlineStr">
        <is>
          <t>22-23萬/坪</t>
        </is>
      </c>
      <c r="L609" s="5" t="inlineStr"/>
      <c r="M609" s="5" t="inlineStr">
        <is>
          <t>銷售中</t>
        </is>
      </c>
      <c r="N609" s="5" t="inlineStr">
        <is>
          <t>L3</t>
        </is>
      </c>
      <c r="O609" s="5" t="inlineStr">
        <is>
          <t>https://www.leju.com.tw/community_list?area=P651&amp;city=P&amp;is_new=1</t>
        </is>
      </c>
    </row>
    <row r="610">
      <c r="A610" s="5" t="n">
        <v>609</v>
      </c>
      <c r="B610" s="5" t="inlineStr">
        <is>
          <t>雲林縣</t>
        </is>
      </c>
      <c r="C610" s="5" t="inlineStr">
        <is>
          <t>A21011</t>
        </is>
      </c>
      <c r="D610" s="5" t="inlineStr">
        <is>
          <t>yunlin</t>
        </is>
      </c>
      <c r="E610" s="5" t="inlineStr">
        <is>
          <t>北港自辦重劃</t>
        </is>
      </c>
      <c r="F610" s="5" t="inlineStr">
        <is>
          <t>自辦市地重劃</t>
        </is>
      </c>
      <c r="G610" s="5" t="inlineStr">
        <is>
          <t>華緯大悅</t>
        </is>
      </c>
      <c r="H610" s="5" t="inlineStr">
        <is>
          <t>祥揚建設</t>
        </is>
      </c>
      <c r="I610" s="5" t="inlineStr"/>
      <c r="J610" s="5" t="inlineStr">
        <is>
          <t>55-67坪</t>
        </is>
      </c>
      <c r="K610" s="5" t="inlineStr"/>
      <c r="L610" s="5" t="inlineStr"/>
      <c r="M610" s="5" t="inlineStr">
        <is>
          <t>已完工</t>
        </is>
      </c>
      <c r="N610" s="5" t="inlineStr">
        <is>
          <t>L3</t>
        </is>
      </c>
      <c r="O610" s="5" t="inlineStr">
        <is>
          <t>https://line-app.591.com.tw/newhouse/139587/recome?regionid=14</t>
        </is>
      </c>
    </row>
    <row r="611">
      <c r="A611" s="5" t="n">
        <v>610</v>
      </c>
      <c r="B611" s="5" t="inlineStr">
        <is>
          <t>雲林縣</t>
        </is>
      </c>
      <c r="C611" s="5" t="inlineStr">
        <is>
          <t>A21011</t>
        </is>
      </c>
      <c r="D611" s="5" t="inlineStr">
        <is>
          <t>yunlin</t>
        </is>
      </c>
      <c r="E611" s="5" t="inlineStr">
        <is>
          <t>北港自辦重劃</t>
        </is>
      </c>
      <c r="F611" s="5" t="inlineStr">
        <is>
          <t>自辦市地重劃</t>
        </is>
      </c>
      <c r="G611" s="5" t="inlineStr">
        <is>
          <t>築居3</t>
        </is>
      </c>
      <c r="H611" s="5" t="inlineStr">
        <is>
          <t>長榮開發建築</t>
        </is>
      </c>
      <c r="I611" s="5" t="inlineStr"/>
      <c r="J611" s="5" t="inlineStr">
        <is>
          <t>16-29坪</t>
        </is>
      </c>
      <c r="K611" s="5" t="inlineStr"/>
      <c r="L611" s="5" t="inlineStr"/>
      <c r="M611" s="5" t="inlineStr">
        <is>
          <t>預售</t>
        </is>
      </c>
      <c r="N611" s="5" t="inlineStr">
        <is>
          <t>L3</t>
        </is>
      </c>
      <c r="O611" s="5" t="inlineStr">
        <is>
          <t>https://chiayi.housetube.tw/52016</t>
        </is>
      </c>
    </row>
    <row r="612">
      <c r="A612" s="5" t="n">
        <v>611</v>
      </c>
      <c r="B612" s="5" t="inlineStr">
        <is>
          <t>雲林縣</t>
        </is>
      </c>
      <c r="C612" s="5" t="inlineStr">
        <is>
          <t>A21011</t>
        </is>
      </c>
      <c r="D612" s="5" t="inlineStr">
        <is>
          <t>yunlin</t>
        </is>
      </c>
      <c r="E612" s="5" t="inlineStr">
        <is>
          <t>其他鄉鎮自辦案</t>
        </is>
      </c>
      <c r="F612" s="5" t="inlineStr">
        <is>
          <t>自辦市地重劃</t>
        </is>
      </c>
      <c r="G612" s="5" t="inlineStr">
        <is>
          <t>富旺悦榕花園（透天）</t>
        </is>
      </c>
      <c r="H612" s="5" t="inlineStr">
        <is>
          <t>富旺國際</t>
        </is>
      </c>
      <c r="I612" s="5" t="inlineStr"/>
      <c r="J612" s="5" t="inlineStr">
        <is>
          <t>23.84-36.05坪(地坪)/47.6-</t>
        </is>
      </c>
      <c r="K612" s="5" t="inlineStr"/>
      <c r="L612" s="5" t="inlineStr"/>
      <c r="M612" s="5" t="inlineStr">
        <is>
          <t>預售</t>
        </is>
      </c>
      <c r="N612" s="5" t="inlineStr">
        <is>
          <t>L3</t>
        </is>
      </c>
      <c r="O612" s="5" t="inlineStr">
        <is>
          <t>https://knowhouse.tw/5035</t>
        </is>
      </c>
    </row>
    <row r="613">
      <c r="A613" s="5" t="n">
        <v>612</v>
      </c>
      <c r="B613" s="5" t="inlineStr">
        <is>
          <t>雲林縣</t>
        </is>
      </c>
      <c r="C613" s="5" t="inlineStr">
        <is>
          <t>A21011</t>
        </is>
      </c>
      <c r="D613" s="5" t="inlineStr">
        <is>
          <t>yunlin</t>
        </is>
      </c>
      <c r="E613" s="5" t="inlineStr">
        <is>
          <t>其他鄉鎮自辦案</t>
        </is>
      </c>
      <c r="F613" s="5" t="inlineStr">
        <is>
          <t>自辦市地重劃</t>
        </is>
      </c>
      <c r="G613" s="5" t="inlineStr">
        <is>
          <t>台富隆昌2</t>
        </is>
      </c>
      <c r="H613" s="5" t="inlineStr">
        <is>
          <t>台富建設</t>
        </is>
      </c>
      <c r="I613" s="5" t="inlineStr">
        <is>
          <t>20戶</t>
        </is>
      </c>
      <c r="J613" s="5" t="inlineStr">
        <is>
          <t>20-34坪(地坪)</t>
        </is>
      </c>
      <c r="K613" s="5" t="inlineStr"/>
      <c r="L613" s="5" t="inlineStr"/>
      <c r="M613" s="5" t="inlineStr">
        <is>
          <t>已完工</t>
        </is>
      </c>
      <c r="N613" s="5" t="inlineStr">
        <is>
          <t>L3</t>
        </is>
      </c>
      <c r="O613" s="5" t="inlineStr">
        <is>
          <t>https://chiayi.housetube.tw/53114?return_query=cid=454</t>
        </is>
      </c>
    </row>
    <row r="614">
      <c r="A614" s="5" t="n">
        <v>613</v>
      </c>
      <c r="B614" s="5" t="inlineStr">
        <is>
          <t>雲林縣</t>
        </is>
      </c>
      <c r="C614" s="5" t="inlineStr">
        <is>
          <t>A21011</t>
        </is>
      </c>
      <c r="D614" s="5" t="inlineStr">
        <is>
          <t>yunlin</t>
        </is>
      </c>
      <c r="E614" s="5" t="inlineStr">
        <is>
          <t>其他鄉鎮自辦案</t>
        </is>
      </c>
      <c r="F614" s="5" t="inlineStr">
        <is>
          <t>自辦市地重劃</t>
        </is>
      </c>
      <c r="G614" s="5" t="inlineStr">
        <is>
          <t>帝之苑6</t>
        </is>
      </c>
      <c r="H614" s="5" t="inlineStr">
        <is>
          <t>濠欣建設</t>
        </is>
      </c>
      <c r="I614" s="5" t="inlineStr"/>
      <c r="J614" s="5" t="inlineStr">
        <is>
          <t>30-38坪(地坪)</t>
        </is>
      </c>
      <c r="K614" s="5" t="inlineStr"/>
      <c r="L614" s="5" t="inlineStr"/>
      <c r="M614" s="5" t="inlineStr">
        <is>
          <t>已完工</t>
        </is>
      </c>
      <c r="N614" s="5" t="inlineStr">
        <is>
          <t>L3</t>
        </is>
      </c>
      <c r="O614" s="5" t="inlineStr">
        <is>
          <t>https://chiayi.housetube.tw/38477</t>
        </is>
      </c>
    </row>
    <row r="615">
      <c r="A615" s="5" t="n">
        <v>614</v>
      </c>
      <c r="B615" s="5" t="inlineStr">
        <is>
          <t>雲林縣</t>
        </is>
      </c>
      <c r="C615" s="5" t="inlineStr">
        <is>
          <t>A21011</t>
        </is>
      </c>
      <c r="D615" s="5" t="inlineStr">
        <is>
          <t>yunlin</t>
        </is>
      </c>
      <c r="E615" s="5" t="inlineStr">
        <is>
          <t>其他鄉鎮自辦案</t>
        </is>
      </c>
      <c r="F615" s="5" t="inlineStr">
        <is>
          <t>自辦市地重劃</t>
        </is>
      </c>
      <c r="G615" s="5" t="inlineStr">
        <is>
          <t>吾家大院</t>
        </is>
      </c>
      <c r="H615" s="5" t="inlineStr"/>
      <c r="I615" s="5" t="inlineStr"/>
      <c r="J615" s="5" t="inlineStr"/>
      <c r="K615" s="5" t="inlineStr"/>
      <c r="L615" s="5" t="inlineStr"/>
      <c r="M615" s="5" t="inlineStr">
        <is>
          <t>已完工</t>
        </is>
      </c>
      <c r="N615" s="5" t="inlineStr">
        <is>
          <t>L3</t>
        </is>
      </c>
      <c r="O615" s="5" t="inlineStr">
        <is>
          <t>https://chiayi.housetube.tw/c466</t>
        </is>
      </c>
    </row>
    <row r="616">
      <c r="A616" s="5" t="n">
        <v>615</v>
      </c>
      <c r="B616" s="5" t="inlineStr">
        <is>
          <t>嘉義市</t>
        </is>
      </c>
      <c r="C616" s="5" t="inlineStr">
        <is>
          <t>A21012</t>
        </is>
      </c>
      <c r="D616" s="5" t="inlineStr">
        <is>
          <t>chiayi-city</t>
        </is>
      </c>
      <c r="E616" s="5" t="inlineStr">
        <is>
          <t>市區小型公辦案</t>
        </is>
      </c>
      <c r="F616" s="5" t="inlineStr">
        <is>
          <t>公辦市地重劃</t>
        </is>
      </c>
      <c r="G616" s="5" t="inlineStr">
        <is>
          <t>勝旺有嘉</t>
        </is>
      </c>
      <c r="H616" s="5" t="inlineStr">
        <is>
          <t>勝旺建設</t>
        </is>
      </c>
      <c r="I616" s="5" t="inlineStr"/>
      <c r="J616" s="5" t="inlineStr">
        <is>
          <t>19.67-34.45坪</t>
        </is>
      </c>
      <c r="K616" s="5" t="inlineStr"/>
      <c r="L616" s="5" t="inlineStr"/>
      <c r="M616" s="5" t="inlineStr">
        <is>
          <t>預售</t>
        </is>
      </c>
      <c r="N616" s="5" t="inlineStr">
        <is>
          <t>L3</t>
        </is>
      </c>
      <c r="O616" s="5" t="inlineStr">
        <is>
          <t>https://newhouse.591.com.tw/139769；https://54aming.com/articles/58092c</t>
        </is>
      </c>
    </row>
    <row r="617">
      <c r="A617" s="5" t="n">
        <v>616</v>
      </c>
      <c r="B617" s="5" t="inlineStr">
        <is>
          <t>嘉義市</t>
        </is>
      </c>
      <c r="C617" s="5" t="inlineStr">
        <is>
          <t>A21012</t>
        </is>
      </c>
      <c r="D617" s="5" t="inlineStr">
        <is>
          <t>chiayi-city</t>
        </is>
      </c>
      <c r="E617" s="5" t="inlineStr">
        <is>
          <t>市區小型公辦案</t>
        </is>
      </c>
      <c r="F617" s="5" t="inlineStr">
        <is>
          <t>公辦市地重劃</t>
        </is>
      </c>
      <c r="G617" s="5" t="inlineStr">
        <is>
          <t>湖美喆峰</t>
        </is>
      </c>
      <c r="H617" s="5" t="inlineStr">
        <is>
          <t>宥金建設</t>
        </is>
      </c>
      <c r="I617" s="5" t="inlineStr"/>
      <c r="J617" s="5" t="inlineStr"/>
      <c r="K617" s="5" t="inlineStr"/>
      <c r="L617" s="5" t="inlineStr"/>
      <c r="M617" s="5" t="inlineStr">
        <is>
          <t>預售</t>
        </is>
      </c>
      <c r="N617" s="5" t="inlineStr">
        <is>
          <t>L3</t>
        </is>
      </c>
      <c r="O617" s="5" t="inlineStr">
        <is>
          <t>https://chiayi.housetube.tw/51739</t>
        </is>
      </c>
    </row>
    <row r="618">
      <c r="A618" s="5" t="n">
        <v>617</v>
      </c>
      <c r="B618" s="5" t="inlineStr">
        <is>
          <t>嘉義市</t>
        </is>
      </c>
      <c r="C618" s="5" t="inlineStr">
        <is>
          <t>A21012</t>
        </is>
      </c>
      <c r="D618" s="5" t="inlineStr">
        <is>
          <t>chiayi-city</t>
        </is>
      </c>
      <c r="E618" s="5" t="inlineStr">
        <is>
          <t>市區小型公辦案</t>
        </is>
      </c>
      <c r="F618" s="5" t="inlineStr">
        <is>
          <t>公辦市地重劃</t>
        </is>
      </c>
      <c r="G618" s="5" t="inlineStr">
        <is>
          <t>森立方</t>
        </is>
      </c>
      <c r="H618" s="5" t="inlineStr"/>
      <c r="I618" s="5" t="inlineStr">
        <is>
          <t>24戶</t>
        </is>
      </c>
      <c r="J618" s="5" t="inlineStr">
        <is>
          <t>24-36坪</t>
        </is>
      </c>
      <c r="K618" s="5" t="inlineStr">
        <is>
          <t>33.69萬/坪</t>
        </is>
      </c>
      <c r="L618" s="5" t="inlineStr"/>
      <c r="M618" s="5" t="inlineStr">
        <is>
          <t>已完工</t>
        </is>
      </c>
      <c r="N618" s="5" t="inlineStr">
        <is>
          <t>L3</t>
        </is>
      </c>
      <c r="O618" s="5" t="inlineStr">
        <is>
          <t>https://www.housefeel.com.tw/article/%E5%98%89%E7%BE%A9%E5%B8%82-%E6%B9%96%E5%AD%90%E5%85%A7-%E6%B9%96%E5%AD%90%E5%85%A7%E9%87%8D%E5%8A%83%E5%8D%80-%E6%B9%96%E5%AD%90%E5%85%A7%E5%A4%9C%E5%B8%82/</t>
        </is>
      </c>
    </row>
    <row r="619">
      <c r="A619" s="5" t="n">
        <v>618</v>
      </c>
      <c r="B619" s="5" t="inlineStr">
        <is>
          <t>嘉義市</t>
        </is>
      </c>
      <c r="C619" s="5" t="inlineStr">
        <is>
          <t>A21012</t>
        </is>
      </c>
      <c r="D619" s="5" t="inlineStr">
        <is>
          <t>chiayi-city</t>
        </is>
      </c>
      <c r="E619" s="5" t="inlineStr">
        <is>
          <t>市區小型自辦重劃</t>
        </is>
      </c>
      <c r="F619" s="5" t="inlineStr">
        <is>
          <t>自辦市地重劃</t>
        </is>
      </c>
      <c r="G619" s="5" t="inlineStr">
        <is>
          <t>暮禾居</t>
        </is>
      </c>
      <c r="H619" s="5" t="inlineStr">
        <is>
          <t>廣晉建設</t>
        </is>
      </c>
      <c r="I619" s="5" t="inlineStr">
        <is>
          <t>17戶</t>
        </is>
      </c>
      <c r="J619" s="5" t="inlineStr"/>
      <c r="K619" s="5" t="inlineStr"/>
      <c r="L619" s="5" t="inlineStr"/>
      <c r="M619" s="5" t="inlineStr">
        <is>
          <t>預售</t>
        </is>
      </c>
      <c r="N619" s="5" t="inlineStr">
        <is>
          <t>L3</t>
        </is>
      </c>
      <c r="O619" s="5" t="inlineStr">
        <is>
          <t>https://chiayi.housetube.tw/52964?return_query=sched=1&amp;type=building</t>
        </is>
      </c>
    </row>
    <row r="620">
      <c r="A620" s="5" t="n">
        <v>619</v>
      </c>
      <c r="B620" s="5" t="inlineStr">
        <is>
          <t>嘉義縣</t>
        </is>
      </c>
      <c r="C620" s="5" t="inlineStr">
        <is>
          <t>A21013</t>
        </is>
      </c>
      <c r="D620" s="5" t="inlineStr">
        <is>
          <t>chiayi-county</t>
        </is>
      </c>
      <c r="E620" s="5" t="inlineStr">
        <is>
          <t>太保公辦重劃</t>
        </is>
      </c>
      <c r="F620" s="5" t="inlineStr">
        <is>
          <t>公辦市地重劃</t>
        </is>
      </c>
      <c r="G620" s="5" t="inlineStr">
        <is>
          <t>高鐵國際城</t>
        </is>
      </c>
      <c r="H620" s="5" t="inlineStr">
        <is>
          <t>清景麟資產/泰嘉開發</t>
        </is>
      </c>
      <c r="I620" s="5" t="inlineStr">
        <is>
          <t>689戶</t>
        </is>
      </c>
      <c r="J620" s="5" t="inlineStr">
        <is>
          <t>22-38坪(住家)/29-51坪(店面)</t>
        </is>
      </c>
      <c r="K620" s="5" t="inlineStr">
        <is>
          <t>23.7萬/坪(均價)</t>
        </is>
      </c>
      <c r="L620" s="5" t="inlineStr"/>
      <c r="M620" s="5" t="inlineStr">
        <is>
          <t>已完銷</t>
        </is>
      </c>
      <c r="N620" s="5" t="inlineStr">
        <is>
          <t>L3</t>
        </is>
      </c>
      <c r="O620" s="5" t="inlineStr">
        <is>
          <t>https://chiayi.housetube.tw/39172</t>
        </is>
      </c>
    </row>
    <row r="621">
      <c r="A621" s="5" t="n">
        <v>620</v>
      </c>
      <c r="B621" s="5" t="inlineStr">
        <is>
          <t>嘉義縣</t>
        </is>
      </c>
      <c r="C621" s="5" t="inlineStr">
        <is>
          <t>A21013</t>
        </is>
      </c>
      <c r="D621" s="5" t="inlineStr">
        <is>
          <t>chiayi-county</t>
        </is>
      </c>
      <c r="E621" s="5" t="inlineStr">
        <is>
          <t>太保公辦重劃</t>
        </is>
      </c>
      <c r="F621" s="5" t="inlineStr">
        <is>
          <t>公辦市地重劃</t>
        </is>
      </c>
      <c r="G621" s="5" t="inlineStr">
        <is>
          <t>築隱居</t>
        </is>
      </c>
      <c r="H621" s="5" t="inlineStr">
        <is>
          <t>廣晉建設</t>
        </is>
      </c>
      <c r="I621" s="5" t="inlineStr">
        <is>
          <t>10戶</t>
        </is>
      </c>
      <c r="J621" s="5" t="inlineStr">
        <is>
          <t>45-53坪(地坪)</t>
        </is>
      </c>
      <c r="K621" s="5" t="inlineStr"/>
      <c r="L621" s="5" t="inlineStr"/>
      <c r="M621" s="5" t="inlineStr">
        <is>
          <t>預售</t>
        </is>
      </c>
      <c r="N621" s="5" t="inlineStr">
        <is>
          <t>L3</t>
        </is>
      </c>
      <c r="O621" s="5" t="inlineStr">
        <is>
          <t>https://chiayi.housetube.tw/51955</t>
        </is>
      </c>
    </row>
    <row r="622">
      <c r="A622" s="5" t="n">
        <v>621</v>
      </c>
      <c r="B622" s="5" t="inlineStr">
        <is>
          <t>嘉義縣</t>
        </is>
      </c>
      <c r="C622" s="5" t="inlineStr">
        <is>
          <t>A21013</t>
        </is>
      </c>
      <c r="D622" s="5" t="inlineStr">
        <is>
          <t>chiayi-county</t>
        </is>
      </c>
      <c r="E622" s="5" t="inlineStr">
        <is>
          <t>太保公辦重劃</t>
        </is>
      </c>
      <c r="F622" s="5" t="inlineStr">
        <is>
          <t>公辦市地重劃</t>
        </is>
      </c>
      <c r="G622" s="5" t="inlineStr">
        <is>
          <t>上荷院7</t>
        </is>
      </c>
      <c r="H622" s="5" t="inlineStr">
        <is>
          <t>坤華建設</t>
        </is>
      </c>
      <c r="I622" s="5" t="inlineStr"/>
      <c r="J622" s="5" t="inlineStr"/>
      <c r="K622" s="5" t="inlineStr"/>
      <c r="L622" s="5" t="inlineStr"/>
      <c r="M622" s="5" t="inlineStr">
        <is>
          <t>銷售中</t>
        </is>
      </c>
      <c r="N622" s="5" t="inlineStr">
        <is>
          <t>L3</t>
        </is>
      </c>
      <c r="O622" s="5" t="inlineStr">
        <is>
          <t>https://knowhouse.tw/4597</t>
        </is>
      </c>
    </row>
    <row r="623">
      <c r="A623" s="5" t="n">
        <v>622</v>
      </c>
      <c r="B623" s="5" t="inlineStr">
        <is>
          <t>屏東縣</t>
        </is>
      </c>
      <c r="C623" s="5" t="inlineStr">
        <is>
          <t>A21014</t>
        </is>
      </c>
      <c r="D623" s="5" t="inlineStr">
        <is>
          <t>pingtung</t>
        </is>
      </c>
      <c r="E623" s="5" t="inlineStr">
        <is>
          <t>屏東市公辦重劃</t>
        </is>
      </c>
      <c r="F623" s="5" t="inlineStr">
        <is>
          <t>公辦市地重劃</t>
        </is>
      </c>
      <c r="G623" s="5" t="inlineStr">
        <is>
          <t>甲山林花園帝寶</t>
        </is>
      </c>
      <c r="H623" s="5" t="inlineStr">
        <is>
          <t>甲山林機構</t>
        </is>
      </c>
      <c r="I623" s="5" t="inlineStr">
        <is>
          <t>354戶</t>
        </is>
      </c>
      <c r="J623" s="5" t="inlineStr">
        <is>
          <t>13-58坪</t>
        </is>
      </c>
      <c r="K623" s="5" t="inlineStr">
        <is>
          <t>33-36萬/坪</t>
        </is>
      </c>
      <c r="L623" s="5" t="inlineStr"/>
      <c r="M623" s="5" t="inlineStr">
        <is>
          <t>新成屋</t>
        </is>
      </c>
      <c r="N623" s="5" t="inlineStr">
        <is>
          <t>L3</t>
        </is>
      </c>
      <c r="O623" s="5" t="inlineStr">
        <is>
          <t>https://www.leju.com.tw/community_list?area=T900&amp;city=T&amp;is_new=1</t>
        </is>
      </c>
    </row>
    <row r="624">
      <c r="A624" s="5" t="n">
        <v>623</v>
      </c>
      <c r="B624" s="5" t="inlineStr">
        <is>
          <t>屏東縣</t>
        </is>
      </c>
      <c r="C624" s="5" t="inlineStr">
        <is>
          <t>A21014</t>
        </is>
      </c>
      <c r="D624" s="5" t="inlineStr">
        <is>
          <t>pingtung</t>
        </is>
      </c>
      <c r="E624" s="5" t="inlineStr">
        <is>
          <t>屏東市公辦重劃</t>
        </is>
      </c>
      <c r="F624" s="5" t="inlineStr">
        <is>
          <t>公辦市地重劃</t>
        </is>
      </c>
      <c r="G624" s="5" t="inlineStr">
        <is>
          <t>總圖大連</t>
        </is>
      </c>
      <c r="H624" s="5" t="inlineStr"/>
      <c r="I624" s="5" t="inlineStr">
        <is>
          <t>140戶</t>
        </is>
      </c>
      <c r="J624" s="5" t="inlineStr">
        <is>
          <t>23-31坪</t>
        </is>
      </c>
      <c r="K624" s="5" t="inlineStr">
        <is>
          <t>30-33萬/坪</t>
        </is>
      </c>
      <c r="L624" s="5" t="inlineStr"/>
      <c r="M624" s="5" t="inlineStr">
        <is>
          <t>新成屋</t>
        </is>
      </c>
      <c r="N624" s="5" t="inlineStr">
        <is>
          <t>L3</t>
        </is>
      </c>
      <c r="O624" s="5" t="inlineStr">
        <is>
          <t>https://www.leju.com.tw/community_list?area=T900&amp;city=T&amp;is_new=1</t>
        </is>
      </c>
    </row>
    <row r="625">
      <c r="A625" s="5" t="n">
        <v>624</v>
      </c>
      <c r="B625" s="5" t="inlineStr">
        <is>
          <t>屏東縣</t>
        </is>
      </c>
      <c r="C625" s="5" t="inlineStr">
        <is>
          <t>A21014</t>
        </is>
      </c>
      <c r="D625" s="5" t="inlineStr">
        <is>
          <t>pingtung</t>
        </is>
      </c>
      <c r="E625" s="5" t="inlineStr">
        <is>
          <t>屏東市公辦重劃</t>
        </is>
      </c>
      <c r="F625" s="5" t="inlineStr">
        <is>
          <t>公辦市地重劃</t>
        </is>
      </c>
      <c r="G625" s="5" t="inlineStr">
        <is>
          <t>向山學</t>
        </is>
      </c>
      <c r="H625" s="5" t="inlineStr"/>
      <c r="I625" s="5" t="inlineStr">
        <is>
          <t>112戶</t>
        </is>
      </c>
      <c r="J625" s="5" t="inlineStr">
        <is>
          <t>24-37坪</t>
        </is>
      </c>
      <c r="K625" s="5" t="inlineStr">
        <is>
          <t>33-36萬/坪</t>
        </is>
      </c>
      <c r="L625" s="5" t="inlineStr"/>
      <c r="M625" s="5" t="inlineStr">
        <is>
          <t>新成屋</t>
        </is>
      </c>
      <c r="N625" s="5" t="inlineStr">
        <is>
          <t>L3</t>
        </is>
      </c>
      <c r="O625" s="5" t="inlineStr">
        <is>
          <t>https://www.leju.com.tw/community_list?area=T900&amp;city=T&amp;is_new=1</t>
        </is>
      </c>
    </row>
    <row r="626">
      <c r="A626" s="5" t="n">
        <v>625</v>
      </c>
      <c r="B626" s="5" t="inlineStr">
        <is>
          <t>屏東縣</t>
        </is>
      </c>
      <c r="C626" s="5" t="inlineStr">
        <is>
          <t>A21014</t>
        </is>
      </c>
      <c r="D626" s="5" t="inlineStr">
        <is>
          <t>pingtung</t>
        </is>
      </c>
      <c r="E626" s="5" t="inlineStr">
        <is>
          <t>屏東市公辦重劃</t>
        </is>
      </c>
      <c r="F626" s="5" t="inlineStr">
        <is>
          <t>公辦市地重劃</t>
        </is>
      </c>
      <c r="G626" s="5" t="inlineStr">
        <is>
          <t>哈佛皇家2旺千禧</t>
        </is>
      </c>
      <c r="H626" s="5" t="inlineStr"/>
      <c r="I626" s="5" t="inlineStr">
        <is>
          <t>115戶</t>
        </is>
      </c>
      <c r="J626" s="5" t="inlineStr">
        <is>
          <t>23-40坪</t>
        </is>
      </c>
      <c r="K626" s="5" t="inlineStr"/>
      <c r="L626" s="5" t="inlineStr">
        <is>
          <t>2028</t>
        </is>
      </c>
      <c r="M626" s="5" t="inlineStr">
        <is>
          <t>興建中</t>
        </is>
      </c>
      <c r="N626" s="5" t="inlineStr">
        <is>
          <t>L3</t>
        </is>
      </c>
      <c r="O626" s="5" t="inlineStr">
        <is>
          <t>https://www.leju.com.tw/community_list?area=T900&amp;city=T&amp;is_new=1</t>
        </is>
      </c>
    </row>
    <row r="627">
      <c r="A627" s="5" t="n">
        <v>626</v>
      </c>
      <c r="B627" s="5" t="inlineStr">
        <is>
          <t>屏東縣</t>
        </is>
      </c>
      <c r="C627" s="5" t="inlineStr">
        <is>
          <t>A21014</t>
        </is>
      </c>
      <c r="D627" s="5" t="inlineStr">
        <is>
          <t>pingtung</t>
        </is>
      </c>
      <c r="E627" s="5" t="inlineStr">
        <is>
          <t>屏東市公辦重劃</t>
        </is>
      </c>
      <c r="F627" s="5" t="inlineStr">
        <is>
          <t>公辦市地重劃</t>
        </is>
      </c>
      <c r="G627" s="5" t="inlineStr">
        <is>
          <t>萬吉謙山</t>
        </is>
      </c>
      <c r="H627" s="5" t="inlineStr">
        <is>
          <t>聖化建設</t>
        </is>
      </c>
      <c r="I627" s="5" t="inlineStr">
        <is>
          <t>68戶</t>
        </is>
      </c>
      <c r="J627" s="5" t="inlineStr">
        <is>
          <t>29-54坪</t>
        </is>
      </c>
      <c r="K627" s="5" t="inlineStr"/>
      <c r="L627" s="5" t="inlineStr">
        <is>
          <t>2027</t>
        </is>
      </c>
      <c r="M627" s="5" t="inlineStr">
        <is>
          <t>興建中</t>
        </is>
      </c>
      <c r="N627" s="5" t="inlineStr">
        <is>
          <t>L3</t>
        </is>
      </c>
      <c r="O627" s="5" t="inlineStr">
        <is>
          <t>https://kaohsiung.housetube.tw/50281?return_query=cid=267&amp;sched=1；https://www.leju.com.tw/community_list?area=T900&amp;city=T&amp;is_new=1</t>
        </is>
      </c>
    </row>
    <row r="628">
      <c r="A628" s="5" t="n">
        <v>627</v>
      </c>
      <c r="B628" s="5" t="inlineStr">
        <is>
          <t>屏東縣</t>
        </is>
      </c>
      <c r="C628" s="5" t="inlineStr">
        <is>
          <t>A21014</t>
        </is>
      </c>
      <c r="D628" s="5" t="inlineStr">
        <is>
          <t>pingtung</t>
        </is>
      </c>
      <c r="E628" s="5" t="inlineStr">
        <is>
          <t>屏東市公辦重劃</t>
        </is>
      </c>
      <c r="F628" s="5" t="inlineStr">
        <is>
          <t>公辦市地重劃</t>
        </is>
      </c>
      <c r="G628" s="5" t="inlineStr">
        <is>
          <t>中洲ONE PARK</t>
        </is>
      </c>
      <c r="H628" s="5" t="inlineStr">
        <is>
          <t>中洲建設</t>
        </is>
      </c>
      <c r="I628" s="5" t="inlineStr">
        <is>
          <t>66戶</t>
        </is>
      </c>
      <c r="J628" s="5" t="inlineStr">
        <is>
          <t>25-34坪</t>
        </is>
      </c>
      <c r="K628" s="5" t="inlineStr">
        <is>
          <t>28-35萬/坪</t>
        </is>
      </c>
      <c r="L628" s="5" t="inlineStr"/>
      <c r="M628" s="5" t="inlineStr">
        <is>
          <t>新成屋</t>
        </is>
      </c>
      <c r="N628" s="5" t="inlineStr">
        <is>
          <t>L3</t>
        </is>
      </c>
      <c r="O628" s="5" t="inlineStr">
        <is>
          <t>https://www.leju.com.tw/community_list?area=T900&amp;city=T&amp;is_new=1</t>
        </is>
      </c>
    </row>
    <row r="629">
      <c r="A629" s="5" t="n">
        <v>628</v>
      </c>
      <c r="B629" s="5" t="inlineStr">
        <is>
          <t>屏東縣</t>
        </is>
      </c>
      <c r="C629" s="5" t="inlineStr">
        <is>
          <t>A21014</t>
        </is>
      </c>
      <c r="D629" s="5" t="inlineStr">
        <is>
          <t>pingtung</t>
        </is>
      </c>
      <c r="E629" s="5" t="inlineStr">
        <is>
          <t>屏東市公辦重劃</t>
        </is>
      </c>
      <c r="F629" s="5" t="inlineStr">
        <is>
          <t>公辦市地重劃</t>
        </is>
      </c>
      <c r="G629" s="5" t="inlineStr">
        <is>
          <t>中洲種子聖殿</t>
        </is>
      </c>
      <c r="H629" s="5" t="inlineStr">
        <is>
          <t>中洲建設</t>
        </is>
      </c>
      <c r="I629" s="5" t="inlineStr"/>
      <c r="J629" s="5" t="inlineStr">
        <is>
          <t>25-44坪</t>
        </is>
      </c>
      <c r="K629" s="5" t="inlineStr">
        <is>
          <t>36萬/坪</t>
        </is>
      </c>
      <c r="L629" s="5" t="inlineStr"/>
      <c r="M629" s="5" t="inlineStr">
        <is>
          <t>銷售中</t>
        </is>
      </c>
      <c r="N629" s="5" t="inlineStr">
        <is>
          <t>L3</t>
        </is>
      </c>
      <c r="O629" s="5" t="inlineStr">
        <is>
          <t>https://newhouse.591.com.tw/124613；https://www.leju.com.tw/community_list?area=T900&amp;city=T&amp;is_new=1</t>
        </is>
      </c>
    </row>
    <row r="630">
      <c r="A630" s="5" t="n">
        <v>629</v>
      </c>
      <c r="B630" s="5" t="inlineStr">
        <is>
          <t>屏東縣</t>
        </is>
      </c>
      <c r="C630" s="5" t="inlineStr">
        <is>
          <t>A21014</t>
        </is>
      </c>
      <c r="D630" s="5" t="inlineStr">
        <is>
          <t>pingtung</t>
        </is>
      </c>
      <c r="E630" s="5" t="inlineStr">
        <is>
          <t>屏東市公辦重劃</t>
        </is>
      </c>
      <c r="F630" s="5" t="inlineStr">
        <is>
          <t>公辦市地重劃</t>
        </is>
      </c>
      <c r="G630" s="5" t="inlineStr">
        <is>
          <t>安庭民生</t>
        </is>
      </c>
      <c r="H630" s="5" t="inlineStr"/>
      <c r="I630" s="5" t="inlineStr">
        <is>
          <t>53戶</t>
        </is>
      </c>
      <c r="J630" s="5" t="inlineStr">
        <is>
          <t>28-49坪</t>
        </is>
      </c>
      <c r="K630" s="5" t="inlineStr">
        <is>
          <t>27-34萬/坪</t>
        </is>
      </c>
      <c r="L630" s="5" t="inlineStr">
        <is>
          <t>2027</t>
        </is>
      </c>
      <c r="M630" s="5" t="inlineStr">
        <is>
          <t>預售</t>
        </is>
      </c>
      <c r="N630" s="5" t="inlineStr">
        <is>
          <t>L3</t>
        </is>
      </c>
      <c r="O630" s="5" t="inlineStr">
        <is>
          <t>https://www.leju.com.tw/community_list?area=T900&amp;city=T&amp;is_new=1</t>
        </is>
      </c>
    </row>
    <row r="631">
      <c r="A631" s="5" t="n">
        <v>630</v>
      </c>
      <c r="B631" s="5" t="inlineStr">
        <is>
          <t>屏東縣</t>
        </is>
      </c>
      <c r="C631" s="5" t="inlineStr">
        <is>
          <t>A21014</t>
        </is>
      </c>
      <c r="D631" s="5" t="inlineStr">
        <is>
          <t>pingtung</t>
        </is>
      </c>
      <c r="E631" s="5" t="inlineStr">
        <is>
          <t>屏東市公辦重劃</t>
        </is>
      </c>
      <c r="F631" s="5" t="inlineStr">
        <is>
          <t>公辦市地重劃</t>
        </is>
      </c>
      <c r="G631" s="5" t="inlineStr">
        <is>
          <t>鉅成市都心</t>
        </is>
      </c>
      <c r="H631" s="5" t="inlineStr">
        <is>
          <t>鉅成建設</t>
        </is>
      </c>
      <c r="I631" s="5" t="inlineStr">
        <is>
          <t>55戶</t>
        </is>
      </c>
      <c r="J631" s="5" t="inlineStr">
        <is>
          <t>37-39坪</t>
        </is>
      </c>
      <c r="K631" s="5" t="inlineStr">
        <is>
          <t>36-39.9萬/坪</t>
        </is>
      </c>
      <c r="L631" s="5" t="inlineStr">
        <is>
          <t>2026</t>
        </is>
      </c>
      <c r="M631" s="5" t="inlineStr">
        <is>
          <t>興建中</t>
        </is>
      </c>
      <c r="N631" s="5" t="inlineStr">
        <is>
          <t>L3</t>
        </is>
      </c>
      <c r="O631" s="5" t="inlineStr">
        <is>
          <t>https://www.leju.com.tw/community_list?area=T900&amp;city=T&amp;is_new=1</t>
        </is>
      </c>
    </row>
    <row r="632">
      <c r="A632" s="5" t="n">
        <v>631</v>
      </c>
      <c r="B632" s="5" t="inlineStr">
        <is>
          <t>屏東縣</t>
        </is>
      </c>
      <c r="C632" s="5" t="inlineStr">
        <is>
          <t>A21014</t>
        </is>
      </c>
      <c r="D632" s="5" t="inlineStr">
        <is>
          <t>pingtung</t>
        </is>
      </c>
      <c r="E632" s="5" t="inlineStr">
        <is>
          <t>屏東市公辦重劃</t>
        </is>
      </c>
      <c r="F632" s="5" t="inlineStr">
        <is>
          <t>公辦市地重劃</t>
        </is>
      </c>
      <c r="G632" s="5" t="inlineStr">
        <is>
          <t>明正金鑽</t>
        </is>
      </c>
      <c r="H632" s="5" t="inlineStr"/>
      <c r="I632" s="5" t="inlineStr">
        <is>
          <t>48戶</t>
        </is>
      </c>
      <c r="J632" s="5" t="inlineStr">
        <is>
          <t>25-33坪</t>
        </is>
      </c>
      <c r="K632" s="5" t="inlineStr"/>
      <c r="L632" s="5" t="inlineStr">
        <is>
          <t>2028</t>
        </is>
      </c>
      <c r="M632" s="5" t="inlineStr">
        <is>
          <t>興建中</t>
        </is>
      </c>
      <c r="N632" s="5" t="inlineStr">
        <is>
          <t>L3</t>
        </is>
      </c>
      <c r="O632" s="5" t="inlineStr">
        <is>
          <t>https://www.leju.com.tw/community_list?area=T900&amp;city=T&amp;is_new=1</t>
        </is>
      </c>
    </row>
    <row r="633">
      <c r="A633" s="5" t="n">
        <v>632</v>
      </c>
      <c r="B633" s="5" t="inlineStr">
        <is>
          <t>屏東縣</t>
        </is>
      </c>
      <c r="C633" s="5" t="inlineStr">
        <is>
          <t>A21014</t>
        </is>
      </c>
      <c r="D633" s="5" t="inlineStr">
        <is>
          <t>pingtung</t>
        </is>
      </c>
      <c r="E633" s="5" t="inlineStr">
        <is>
          <t>潮州自辦重劃</t>
        </is>
      </c>
      <c r="F633" s="5" t="inlineStr">
        <is>
          <t>自辦市地重劃</t>
        </is>
      </c>
      <c r="G633" s="5" t="inlineStr">
        <is>
          <t>太友敦煌11潮州新鎮2</t>
        </is>
      </c>
      <c r="H633" s="5" t="inlineStr">
        <is>
          <t>太友建設</t>
        </is>
      </c>
      <c r="I633" s="5" t="inlineStr"/>
      <c r="J633" s="5" t="inlineStr"/>
      <c r="K633" s="5" t="inlineStr">
        <is>
          <t>總價398-874萬</t>
        </is>
      </c>
      <c r="L633" s="5" t="inlineStr"/>
      <c r="M633" s="5" t="inlineStr">
        <is>
          <t>預售</t>
        </is>
      </c>
      <c r="N633" s="5" t="inlineStr">
        <is>
          <t>L3</t>
        </is>
      </c>
      <c r="O633" s="5" t="inlineStr">
        <is>
          <t>https://kaohsiung.housetube.tw/c265?sched=1</t>
        </is>
      </c>
    </row>
    <row r="634">
      <c r="A634" s="5" t="n">
        <v>633</v>
      </c>
      <c r="B634" s="5" t="inlineStr">
        <is>
          <t>屏東縣</t>
        </is>
      </c>
      <c r="C634" s="5" t="inlineStr">
        <is>
          <t>A21014</t>
        </is>
      </c>
      <c r="D634" s="5" t="inlineStr">
        <is>
          <t>pingtung</t>
        </is>
      </c>
      <c r="E634" s="5" t="inlineStr">
        <is>
          <t>潮州自辦重劃</t>
        </is>
      </c>
      <c r="F634" s="5" t="inlineStr">
        <is>
          <t>自辦市地重劃</t>
        </is>
      </c>
      <c r="G634" s="5" t="inlineStr">
        <is>
          <t>丰。中洲</t>
        </is>
      </c>
      <c r="H634" s="5" t="inlineStr"/>
      <c r="I634" s="5" t="inlineStr"/>
      <c r="J634" s="5" t="inlineStr"/>
      <c r="K634" s="5" t="inlineStr">
        <is>
          <t>27萬/坪</t>
        </is>
      </c>
      <c r="L634" s="5" t="inlineStr"/>
      <c r="M634" s="5" t="inlineStr">
        <is>
          <t>預售</t>
        </is>
      </c>
      <c r="N634" s="5" t="inlineStr">
        <is>
          <t>L3</t>
        </is>
      </c>
      <c r="O634" s="5" t="inlineStr">
        <is>
          <t>https://kaohsiung.housetube.tw/c265?sched=1</t>
        </is>
      </c>
    </row>
    <row r="635">
      <c r="A635" s="5" t="n">
        <v>634</v>
      </c>
      <c r="B635" s="5" t="inlineStr">
        <is>
          <t>屏東縣</t>
        </is>
      </c>
      <c r="C635" s="5" t="inlineStr">
        <is>
          <t>A21014</t>
        </is>
      </c>
      <c r="D635" s="5" t="inlineStr">
        <is>
          <t>pingtung</t>
        </is>
      </c>
      <c r="E635" s="5" t="inlineStr">
        <is>
          <t>潮州自辦重劃</t>
        </is>
      </c>
      <c r="F635" s="5" t="inlineStr">
        <is>
          <t>自辦市地重劃</t>
        </is>
      </c>
      <c r="G635" s="5" t="inlineStr">
        <is>
          <t>欣潮1-欣家樓</t>
        </is>
      </c>
      <c r="H635" s="5" t="inlineStr"/>
      <c r="I635" s="5" t="inlineStr"/>
      <c r="J635" s="5" t="inlineStr"/>
      <c r="K635" s="5" t="inlineStr">
        <is>
          <t>26萬/坪</t>
        </is>
      </c>
      <c r="L635" s="5" t="inlineStr"/>
      <c r="M635" s="5" t="inlineStr">
        <is>
          <t>預售</t>
        </is>
      </c>
      <c r="N635" s="5" t="inlineStr">
        <is>
          <t>L3</t>
        </is>
      </c>
      <c r="O635" s="5" t="inlineStr">
        <is>
          <t>https://kaohsiung.housetube.tw/c265?sched=1</t>
        </is>
      </c>
    </row>
    <row r="636">
      <c r="A636" s="5" t="n">
        <v>635</v>
      </c>
      <c r="B636" s="5" t="inlineStr">
        <is>
          <t>屏東縣</t>
        </is>
      </c>
      <c r="C636" s="5" t="inlineStr">
        <is>
          <t>A21014</t>
        </is>
      </c>
      <c r="D636" s="5" t="inlineStr">
        <is>
          <t>pingtung</t>
        </is>
      </c>
      <c r="E636" s="5" t="inlineStr">
        <is>
          <t>潮州自辦重劃</t>
        </is>
      </c>
      <c r="F636" s="5" t="inlineStr">
        <is>
          <t>自辦市地重劃</t>
        </is>
      </c>
      <c r="G636" s="5" t="inlineStr">
        <is>
          <t>榮田品都</t>
        </is>
      </c>
      <c r="H636" s="5" t="inlineStr"/>
      <c r="I636" s="5" t="inlineStr"/>
      <c r="J636" s="5" t="inlineStr"/>
      <c r="K636" s="5" t="inlineStr">
        <is>
          <t>27.1萬/坪</t>
        </is>
      </c>
      <c r="L636" s="5" t="inlineStr"/>
      <c r="M636" s="5" t="inlineStr">
        <is>
          <t>預售</t>
        </is>
      </c>
      <c r="N636" s="5" t="inlineStr">
        <is>
          <t>L3</t>
        </is>
      </c>
      <c r="O636" s="5" t="inlineStr">
        <is>
          <t>https://kaohsiung.housetube.tw/c265?sched=1</t>
        </is>
      </c>
    </row>
    <row r="637">
      <c r="A637" s="5" t="n">
        <v>636</v>
      </c>
      <c r="B637" s="5" t="inlineStr">
        <is>
          <t>屏東縣</t>
        </is>
      </c>
      <c r="C637" s="5" t="inlineStr">
        <is>
          <t>A21014</t>
        </is>
      </c>
      <c r="D637" s="5" t="inlineStr">
        <is>
          <t>pingtung</t>
        </is>
      </c>
      <c r="E637" s="5" t="inlineStr">
        <is>
          <t>潮州自辦重劃</t>
        </is>
      </c>
      <c r="F637" s="5" t="inlineStr">
        <is>
          <t>自辦市地重劃</t>
        </is>
      </c>
      <c r="G637" s="5" t="inlineStr">
        <is>
          <t>欣潮2·欣品樓</t>
        </is>
      </c>
      <c r="H637" s="5" t="inlineStr"/>
      <c r="I637" s="5" t="inlineStr"/>
      <c r="J637" s="5" t="inlineStr"/>
      <c r="K637" s="5" t="inlineStr">
        <is>
          <t>28.6萬/坪</t>
        </is>
      </c>
      <c r="L637" s="5" t="inlineStr"/>
      <c r="M637" s="5" t="inlineStr">
        <is>
          <t>預售</t>
        </is>
      </c>
      <c r="N637" s="5" t="inlineStr">
        <is>
          <t>L3</t>
        </is>
      </c>
      <c r="O637" s="5" t="inlineStr">
        <is>
          <t>https://kaohsiung.housetube.tw/c265?sched=1</t>
        </is>
      </c>
    </row>
    <row r="638">
      <c r="A638" s="5" t="n">
        <v>637</v>
      </c>
      <c r="B638" s="5" t="inlineStr">
        <is>
          <t>屏東縣</t>
        </is>
      </c>
      <c r="C638" s="5" t="inlineStr">
        <is>
          <t>A21014</t>
        </is>
      </c>
      <c r="D638" s="5" t="inlineStr">
        <is>
          <t>pingtung</t>
        </is>
      </c>
      <c r="E638" s="5" t="inlineStr">
        <is>
          <t>潮州自辦重劃</t>
        </is>
      </c>
      <c r="F638" s="5" t="inlineStr">
        <is>
          <t>自辦市地重劃</t>
        </is>
      </c>
      <c r="G638" s="5" t="inlineStr">
        <is>
          <t>廣積潮州璟苑</t>
        </is>
      </c>
      <c r="H638" s="5" t="inlineStr">
        <is>
          <t>廣積建設</t>
        </is>
      </c>
      <c r="I638" s="5" t="inlineStr"/>
      <c r="J638" s="5" t="inlineStr"/>
      <c r="K638" s="5" t="inlineStr"/>
      <c r="L638" s="5" t="inlineStr"/>
      <c r="M638" s="5" t="inlineStr">
        <is>
          <t>預售</t>
        </is>
      </c>
      <c r="N638" s="5" t="inlineStr">
        <is>
          <t>L3</t>
        </is>
      </c>
      <c r="O638" s="5" t="inlineStr">
        <is>
          <t>https://kaohsiung.housetube.tw/c265?sched=1</t>
        </is>
      </c>
    </row>
    <row r="639">
      <c r="A639" s="5" t="n">
        <v>638</v>
      </c>
      <c r="B639" s="5" t="inlineStr">
        <is>
          <t>屏東縣</t>
        </is>
      </c>
      <c r="C639" s="5" t="inlineStr">
        <is>
          <t>A21014</t>
        </is>
      </c>
      <c r="D639" s="5" t="inlineStr">
        <is>
          <t>pingtung</t>
        </is>
      </c>
      <c r="E639" s="5" t="inlineStr">
        <is>
          <t>潮州自辦重劃</t>
        </is>
      </c>
      <c r="F639" s="5" t="inlineStr">
        <is>
          <t>自辦市地重劃</t>
        </is>
      </c>
      <c r="G639" s="5" t="inlineStr">
        <is>
          <t>天景潮院</t>
        </is>
      </c>
      <c r="H639" s="5" t="inlineStr"/>
      <c r="I639" s="5" t="inlineStr"/>
      <c r="J639" s="5" t="inlineStr"/>
      <c r="K639" s="5" t="inlineStr"/>
      <c r="L639" s="5" t="inlineStr"/>
      <c r="M639" s="5" t="inlineStr">
        <is>
          <t>預售</t>
        </is>
      </c>
      <c r="N639" s="5" t="inlineStr">
        <is>
          <t>L3</t>
        </is>
      </c>
      <c r="O639" s="5" t="inlineStr">
        <is>
          <t>https://kaohsiung.housetube.tw/c265?sched=1</t>
        </is>
      </c>
    </row>
    <row r="640">
      <c r="A640" s="5" t="n">
        <v>639</v>
      </c>
      <c r="B640" s="5" t="inlineStr">
        <is>
          <t>花蓮縣</t>
        </is>
      </c>
      <c r="C640" s="5" t="inlineStr">
        <is>
          <t>A21016</t>
        </is>
      </c>
      <c r="D640" s="5" t="inlineStr">
        <is>
          <t>hualien</t>
        </is>
      </c>
      <c r="E640" s="5" t="inlineStr">
        <is>
          <t>縣治零星小型自辦案</t>
        </is>
      </c>
      <c r="F640" s="5" t="inlineStr">
        <is>
          <t>自辦市地重劃</t>
        </is>
      </c>
      <c r="G640" s="5" t="inlineStr">
        <is>
          <t>日出好學</t>
        </is>
      </c>
      <c r="H640" s="5" t="inlineStr"/>
      <c r="I640" s="5" t="inlineStr">
        <is>
          <t>67戶</t>
        </is>
      </c>
      <c r="J640" s="5" t="inlineStr"/>
      <c r="K640" s="5" t="inlineStr">
        <is>
          <t>26-29萬/坪</t>
        </is>
      </c>
      <c r="L640" s="5" t="inlineStr"/>
      <c r="M640" s="5" t="inlineStr">
        <is>
          <t>銷售中</t>
        </is>
      </c>
      <c r="N640" s="5" t="inlineStr">
        <is>
          <t>L3</t>
        </is>
      </c>
      <c r="O640" s="5" t="inlineStr">
        <is>
          <t>https://newhouse.591.com.tw/132172?from_id=106668</t>
        </is>
      </c>
    </row>
    <row r="641">
      <c r="A641" s="5" t="n">
        <v>640</v>
      </c>
      <c r="B641" s="5" t="inlineStr">
        <is>
          <t>花蓮縣</t>
        </is>
      </c>
      <c r="C641" s="5" t="inlineStr">
        <is>
          <t>A21016</t>
        </is>
      </c>
      <c r="D641" s="5" t="inlineStr">
        <is>
          <t>hualien</t>
        </is>
      </c>
      <c r="E641" s="5" t="inlineStr">
        <is>
          <t>縣治零星小型自辦案</t>
        </is>
      </c>
      <c r="F641" s="5" t="inlineStr">
        <is>
          <t>自辦市地重劃</t>
        </is>
      </c>
      <c r="G641" s="5" t="inlineStr">
        <is>
          <t>中原特區</t>
        </is>
      </c>
      <c r="H641" s="5" t="inlineStr">
        <is>
          <t>長峯建設（長旭建設集團）</t>
        </is>
      </c>
      <c r="I641" s="5" t="inlineStr">
        <is>
          <t>18戶</t>
        </is>
      </c>
      <c r="J641" s="5" t="inlineStr"/>
      <c r="K641" s="5" t="inlineStr"/>
      <c r="L641" s="5" t="inlineStr"/>
      <c r="M641" s="5" t="inlineStr">
        <is>
          <t>銷售中</t>
        </is>
      </c>
      <c r="N641" s="5" t="inlineStr">
        <is>
          <t>L3</t>
        </is>
      </c>
      <c r="O641" s="5" t="inlineStr">
        <is>
          <t>https://market.591.com.tw/3699589/overview</t>
        </is>
      </c>
    </row>
    <row r="642">
      <c r="A642" s="5" t="n">
        <v>641</v>
      </c>
      <c r="B642" s="5" t="inlineStr">
        <is>
          <t>臺東縣</t>
        </is>
      </c>
      <c r="C642" s="5" t="inlineStr">
        <is>
          <t>A21017</t>
        </is>
      </c>
      <c r="D642" s="5" t="inlineStr">
        <is>
          <t>taitung</t>
        </is>
      </c>
      <c r="E642" s="5" t="inlineStr">
        <is>
          <t>縣治零星小型自辦案</t>
        </is>
      </c>
      <c r="F642" s="5" t="inlineStr">
        <is>
          <t>自辦市地重劃</t>
        </is>
      </c>
      <c r="G642" s="5" t="inlineStr">
        <is>
          <t>清榮璞苑</t>
        </is>
      </c>
      <c r="H642" s="5" t="inlineStr">
        <is>
          <t>德順昌建設</t>
        </is>
      </c>
      <c r="I642" s="5" t="inlineStr"/>
      <c r="J642" s="5" t="inlineStr"/>
      <c r="K642" s="5" t="inlineStr"/>
      <c r="L642" s="5" t="inlineStr"/>
      <c r="M642" s="5" t="inlineStr">
        <is>
          <t>銷售中</t>
        </is>
      </c>
      <c r="N642" s="5" t="inlineStr">
        <is>
          <t>L3</t>
        </is>
      </c>
      <c r="O642" s="5" t="inlineStr">
        <is>
          <t>https://buy.yungching.com.tw/list/%E5%8F%B0%E6%9D%B1%E7%B8%A3-%E5%8F%B0%E6%9D%B1%E5%B8%82,%E5%8F%B0%E6%9D%B1%E7%B8%A3-%E5%8D%91%E5%8D%97%E9%84%A1_c/900-_price；https://www.etwarm.com.tw/news/2355</t>
        </is>
      </c>
    </row>
    <row r="643">
      <c r="A643" s="5" t="n">
        <v>642</v>
      </c>
      <c r="B643" s="5" t="inlineStr">
        <is>
          <t>臺東縣</t>
        </is>
      </c>
      <c r="C643" s="5" t="inlineStr">
        <is>
          <t>A21017</t>
        </is>
      </c>
      <c r="D643" s="5" t="inlineStr">
        <is>
          <t>taitung</t>
        </is>
      </c>
      <c r="E643" s="5" t="inlineStr">
        <is>
          <t>縣治零星小型自辦案</t>
        </is>
      </c>
      <c r="F643" s="5" t="inlineStr">
        <is>
          <t>自辦市地重劃</t>
        </is>
      </c>
      <c r="G643" s="5" t="inlineStr">
        <is>
          <t>泰東e成家2</t>
        </is>
      </c>
      <c r="H643" s="5" t="inlineStr"/>
      <c r="I643" s="5" t="inlineStr">
        <is>
          <t>11戶</t>
        </is>
      </c>
      <c r="J643" s="5" t="inlineStr">
        <is>
          <t>建坪45.5-56.5坪</t>
        </is>
      </c>
      <c r="K643" s="5" t="inlineStr">
        <is>
          <t>總價499-638萬</t>
        </is>
      </c>
      <c r="L643" s="5" t="inlineStr"/>
      <c r="M643" s="5" t="inlineStr">
        <is>
          <t>已完銷</t>
        </is>
      </c>
      <c r="N643" s="5" t="inlineStr">
        <is>
          <t>L3</t>
        </is>
      </c>
      <c r="O643" s="5" t="inlineStr">
        <is>
          <t>https://knowhouse.tw/910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13" customWidth="1" min="4" max="4"/>
    <col width="15" customWidth="1" min="5" max="5"/>
    <col width="39" customWidth="1" min="6" max="6"/>
    <col width="27" customWidth="1" min="7" max="7"/>
    <col width="18" customWidth="1" min="8" max="8"/>
    <col width="45" customWidth="1" min="9" max="9"/>
    <col width="41" customWidth="1" min="10" max="10"/>
    <col width="11" customWidth="1" min="11" max="11"/>
    <col width="31" customWidth="1" min="12" max="12"/>
  </cols>
  <sheetData>
    <row r="1">
      <c r="A1" s="1" t="inlineStr">
        <is>
          <t>seq</t>
        </is>
      </c>
      <c r="B1" s="1" t="inlineStr">
        <is>
          <t>縣市</t>
        </is>
      </c>
      <c r="C1" s="1" t="inlineStr">
        <is>
          <t>slug</t>
        </is>
      </c>
      <c r="D1" s="1" t="inlineStr">
        <is>
          <t>region</t>
        </is>
      </c>
      <c r="E1" s="1" t="inlineStr">
        <is>
          <t>type</t>
        </is>
      </c>
      <c r="F1" s="1" t="inlineStr">
        <is>
          <t>type_file</t>
        </is>
      </c>
      <c r="G1" s="1" t="inlineStr">
        <is>
          <t>zone</t>
        </is>
      </c>
      <c r="H1" s="1" t="inlineStr">
        <is>
          <t>research_status</t>
        </is>
      </c>
      <c r="I1" s="1" t="inlineStr">
        <is>
          <t>建案數</t>
        </is>
      </c>
      <c r="J1" s="1" t="inlineStr">
        <is>
          <t>內頁目標檔名</t>
        </is>
      </c>
      <c r="K1" s="1" t="inlineStr">
        <is>
          <t>產出狀態</t>
        </is>
      </c>
      <c r="L1" s="1" t="inlineStr">
        <is>
          <t>相對路徑連結</t>
        </is>
      </c>
    </row>
    <row r="2">
      <c r="A2" s="5" t="n">
        <v>1</v>
      </c>
      <c r="B2" s="5" t="inlineStr">
        <is>
          <t>臺北市</t>
        </is>
      </c>
      <c r="C2" s="5" t="inlineStr">
        <is>
          <t>taipei</t>
        </is>
      </c>
      <c r="D2" s="5" t="inlineStr">
        <is>
          <t>六大直轄市</t>
        </is>
      </c>
      <c r="E2" s="5" t="inlineStr">
        <is>
          <t>公辦市地重劃</t>
        </is>
      </c>
      <c r="F2" s="5" t="inlineStr">
        <is>
          <t>public-urban-land-readjustment.html</t>
        </is>
      </c>
      <c r="G2" s="5" t="inlineStr">
        <is>
          <t>南港公辦重劃</t>
        </is>
      </c>
      <c r="H2" s="5" t="inlineStr">
        <is>
          <t>researched</t>
        </is>
      </c>
      <c r="I2" s="5">
        <f>COUNTIFS(建案總表_642案!$E$2:$E$643,$G2)</f>
        <v/>
      </c>
      <c r="J2" s="5" t="inlineStr">
        <is>
          <t>taipei/南港公辦重劃.html</t>
        </is>
      </c>
      <c r="K2" s="5" t="inlineStr">
        <is>
          <t>已存在</t>
        </is>
      </c>
      <c r="L2" s="5" t="inlineStr">
        <is>
          <t>taipei/南港公辦重劃.html</t>
        </is>
      </c>
    </row>
    <row r="3">
      <c r="A3" s="5" t="n">
        <v>2</v>
      </c>
      <c r="B3" s="5" t="inlineStr">
        <is>
          <t>臺北市</t>
        </is>
      </c>
      <c r="C3" s="5" t="inlineStr">
        <is>
          <t>taipei</t>
        </is>
      </c>
      <c r="D3" s="5" t="inlineStr">
        <is>
          <t>六大直轄市</t>
        </is>
      </c>
      <c r="E3" s="5" t="inlineStr">
        <is>
          <t>公辦市地重劃</t>
        </is>
      </c>
      <c r="F3" s="5" t="inlineStr">
        <is>
          <t>public-urban-land-readjustment.html</t>
        </is>
      </c>
      <c r="G3" s="5" t="inlineStr">
        <is>
          <t>內湖小型公辦重劃</t>
        </is>
      </c>
      <c r="H3" s="5" t="inlineStr">
        <is>
          <t>researched</t>
        </is>
      </c>
      <c r="I3" s="5">
        <f>COUNTIFS(建案總表_642案!$E$2:$E$643,$G3)</f>
        <v/>
      </c>
      <c r="J3" s="5" t="inlineStr">
        <is>
          <t>taipei/內湖小型公辦重劃.html</t>
        </is>
      </c>
      <c r="K3" s="5" t="inlineStr">
        <is>
          <t>已存在</t>
        </is>
      </c>
      <c r="L3" s="5" t="inlineStr">
        <is>
          <t>taipei/內湖小型公辦重劃.html</t>
        </is>
      </c>
    </row>
    <row r="4">
      <c r="A4" s="5" t="n">
        <v>3</v>
      </c>
      <c r="B4" s="5" t="inlineStr">
        <is>
          <t>臺北市</t>
        </is>
      </c>
      <c r="C4" s="5" t="inlineStr">
        <is>
          <t>taipei</t>
        </is>
      </c>
      <c r="D4" s="5" t="inlineStr">
        <is>
          <t>六大直轄市</t>
        </is>
      </c>
      <c r="E4" s="5" t="inlineStr">
        <is>
          <t>自辦市地重劃</t>
        </is>
      </c>
      <c r="F4" s="5" t="inlineStr">
        <is>
          <t>private-urban-land-readjustment.html</t>
        </is>
      </c>
      <c r="G4" s="5" t="inlineStr">
        <is>
          <t>零星小型自辦案</t>
        </is>
      </c>
      <c r="H4" s="5" t="inlineStr">
        <is>
          <t>no_named_zone</t>
        </is>
      </c>
      <c r="I4" s="5">
        <f>COUNTIFS(建案總表_642案!$E$2:$E$643,$G4)</f>
        <v/>
      </c>
      <c r="J4" s="5" t="inlineStr">
        <is>
          <t>taipei/零星小型自辦案.html</t>
        </is>
      </c>
      <c r="K4" s="5" t="inlineStr">
        <is>
          <t>已存在</t>
        </is>
      </c>
      <c r="L4" s="9" t="inlineStr">
        <is>
          <t>taipei/零星小型自辦案.html</t>
        </is>
      </c>
    </row>
    <row r="5">
      <c r="A5" s="5" t="n">
        <v>4</v>
      </c>
      <c r="B5" s="5" t="inlineStr">
        <is>
          <t>臺北市</t>
        </is>
      </c>
      <c r="C5" s="5" t="inlineStr">
        <is>
          <t>taipei</t>
        </is>
      </c>
      <c r="D5" s="5" t="inlineStr">
        <is>
          <t>六大直轄市</t>
        </is>
      </c>
      <c r="E5" s="5" t="inlineStr">
        <is>
          <t>都市更新</t>
        </is>
      </c>
      <c r="F5" s="5" t="inlineStr">
        <is>
          <t>urban-renewal.html</t>
        </is>
      </c>
      <c r="G5" s="5" t="inlineStr">
        <is>
          <t>西門公辦都更</t>
        </is>
      </c>
      <c r="H5" s="5" t="inlineStr">
        <is>
          <t>researched</t>
        </is>
      </c>
      <c r="I5" s="5">
        <f>COUNTIFS(建案總表_642案!$E$2:$E$643,$G5)</f>
        <v/>
      </c>
      <c r="J5" s="5" t="inlineStr">
        <is>
          <t>taipei/西門公辦都更.html</t>
        </is>
      </c>
      <c r="K5" s="5" t="inlineStr">
        <is>
          <t>已存在</t>
        </is>
      </c>
      <c r="L5" s="9" t="inlineStr">
        <is>
          <t>taipei/西門公辦都更.html</t>
        </is>
      </c>
    </row>
    <row r="6">
      <c r="A6" s="5" t="n">
        <v>5</v>
      </c>
      <c r="B6" s="5" t="inlineStr">
        <is>
          <t>臺北市</t>
        </is>
      </c>
      <c r="C6" s="5" t="inlineStr">
        <is>
          <t>taipei</t>
        </is>
      </c>
      <c r="D6" s="5" t="inlineStr">
        <is>
          <t>六大直轄市</t>
        </is>
      </c>
      <c r="E6" s="5" t="inlineStr">
        <is>
          <t>都市更新</t>
        </is>
      </c>
      <c r="F6" s="5" t="inlineStr">
        <is>
          <t>urban-renewal.html</t>
        </is>
      </c>
      <c r="G6" s="5" t="inlineStr">
        <is>
          <t>南港公辦都更</t>
        </is>
      </c>
      <c r="H6" s="5" t="inlineStr">
        <is>
          <t>researched</t>
        </is>
      </c>
      <c r="I6" s="5">
        <f>COUNTIFS(建案總表_642案!$E$2:$E$643,$G6)</f>
        <v/>
      </c>
      <c r="J6" s="5" t="inlineStr">
        <is>
          <t>taipei/南港公辦都更.html</t>
        </is>
      </c>
      <c r="K6" s="5" t="inlineStr">
        <is>
          <t>已存在</t>
        </is>
      </c>
      <c r="L6" s="9" t="inlineStr">
        <is>
          <t>taipei/南港公辦都更.html</t>
        </is>
      </c>
    </row>
    <row r="7">
      <c r="A7" s="5" t="n">
        <v>6</v>
      </c>
      <c r="B7" s="5" t="inlineStr">
        <is>
          <t>臺北市</t>
        </is>
      </c>
      <c r="C7" s="5" t="inlineStr">
        <is>
          <t>taipei</t>
        </is>
      </c>
      <c r="D7" s="5" t="inlineStr">
        <is>
          <t>六大直轄市</t>
        </is>
      </c>
      <c r="E7" s="5" t="inlineStr">
        <is>
          <t>都市更新</t>
        </is>
      </c>
      <c r="F7" s="5" t="inlineStr">
        <is>
          <t>urban-renewal.html</t>
        </is>
      </c>
      <c r="G7" s="5" t="inlineStr">
        <is>
          <t>萬華公辦都更</t>
        </is>
      </c>
      <c r="H7" s="5" t="inlineStr">
        <is>
          <t>researched</t>
        </is>
      </c>
      <c r="I7" s="5">
        <f>COUNTIFS(建案總表_642案!$E$2:$E$643,$G7)</f>
        <v/>
      </c>
      <c r="J7" s="5" t="inlineStr">
        <is>
          <t>taipei/萬華公辦都更.html</t>
        </is>
      </c>
      <c r="K7" s="5" t="inlineStr">
        <is>
          <t>已存在</t>
        </is>
      </c>
      <c r="L7" s="9" t="inlineStr">
        <is>
          <t>taipei/萬華公辦都更.html</t>
        </is>
      </c>
    </row>
    <row r="8">
      <c r="A8" s="5" t="n">
        <v>7</v>
      </c>
      <c r="B8" s="5" t="inlineStr">
        <is>
          <t>新北市</t>
        </is>
      </c>
      <c r="C8" s="5" t="inlineStr">
        <is>
          <t>new-taipei</t>
        </is>
      </c>
      <c r="D8" s="5" t="inlineStr">
        <is>
          <t>六大直轄市</t>
        </is>
      </c>
      <c r="E8" s="5" t="inlineStr">
        <is>
          <t>公辦市地重劃</t>
        </is>
      </c>
      <c r="F8" s="5" t="inlineStr">
        <is>
          <t>public-urban-land-readjustment.html</t>
        </is>
      </c>
      <c r="G8" s="5" t="inlineStr">
        <is>
          <t>塭仔圳重劃</t>
        </is>
      </c>
      <c r="H8" s="5" t="inlineStr">
        <is>
          <t>researched</t>
        </is>
      </c>
      <c r="I8" s="5">
        <f>COUNTIFS(建案總表_642案!$E$2:$E$643,$G8)</f>
        <v/>
      </c>
      <c r="J8" s="5" t="inlineStr">
        <is>
          <t>new-taipei/塭仔圳重劃.html</t>
        </is>
      </c>
      <c r="K8" s="5" t="inlineStr">
        <is>
          <t>已存在</t>
        </is>
      </c>
      <c r="L8" s="9" t="inlineStr">
        <is>
          <t>new-taipei/塭仔圳重劃.html</t>
        </is>
      </c>
    </row>
    <row r="9">
      <c r="A9" s="5" t="n">
        <v>8</v>
      </c>
      <c r="B9" s="5" t="inlineStr">
        <is>
          <t>新北市</t>
        </is>
      </c>
      <c r="C9" s="5" t="inlineStr">
        <is>
          <t>new-taipei</t>
        </is>
      </c>
      <c r="D9" s="5" t="inlineStr">
        <is>
          <t>六大直轄市</t>
        </is>
      </c>
      <c r="E9" s="5" t="inlineStr">
        <is>
          <t>公辦市地重劃</t>
        </is>
      </c>
      <c r="F9" s="5" t="inlineStr">
        <is>
          <t>public-urban-land-readjustment.html</t>
        </is>
      </c>
      <c r="G9" s="5" t="inlineStr">
        <is>
          <t>土城暫緩發展區重劃</t>
        </is>
      </c>
      <c r="H9" s="5" t="inlineStr">
        <is>
          <t>researched</t>
        </is>
      </c>
      <c r="I9" s="5">
        <f>COUNTIFS(建案總表_642案!$E$2:$E$643,$G9)</f>
        <v/>
      </c>
      <c r="J9" s="5" t="inlineStr">
        <is>
          <t>new-taipei/土城暫緩發展區重劃.html</t>
        </is>
      </c>
      <c r="K9" s="5" t="inlineStr">
        <is>
          <t>已存在</t>
        </is>
      </c>
      <c r="L9" s="9" t="inlineStr">
        <is>
          <t>new-taipei/土城暫緩發展區重劃.html</t>
        </is>
      </c>
    </row>
    <row r="10">
      <c r="A10" s="5" t="n">
        <v>9</v>
      </c>
      <c r="B10" s="5" t="inlineStr">
        <is>
          <t>新北市</t>
        </is>
      </c>
      <c r="C10" s="5" t="inlineStr">
        <is>
          <t>new-taipei</t>
        </is>
      </c>
      <c r="D10" s="5" t="inlineStr">
        <is>
          <t>六大直轄市</t>
        </is>
      </c>
      <c r="E10" s="5" t="inlineStr">
        <is>
          <t>公辦市地重劃</t>
        </is>
      </c>
      <c r="F10" s="5" t="inlineStr">
        <is>
          <t>public-urban-land-readjustment.html</t>
        </is>
      </c>
      <c r="G10" s="5" t="inlineStr">
        <is>
          <t>板橋浮洲重劃</t>
        </is>
      </c>
      <c r="H10" s="5" t="inlineStr">
        <is>
          <t>researched</t>
        </is>
      </c>
      <c r="I10" s="5">
        <f>COUNTIFS(建案總表_642案!$E$2:$E$643,$G10)</f>
        <v/>
      </c>
      <c r="J10" s="5" t="inlineStr">
        <is>
          <t>new-taipei/板橋浮洲重劃.html</t>
        </is>
      </c>
      <c r="K10" s="5" t="inlineStr">
        <is>
          <t>已存在</t>
        </is>
      </c>
      <c r="L10" s="9" t="inlineStr">
        <is>
          <t>new-taipei/板橋浮洲重劃.html</t>
        </is>
      </c>
    </row>
    <row r="11">
      <c r="A11" s="5" t="n">
        <v>10</v>
      </c>
      <c r="B11" s="5" t="inlineStr">
        <is>
          <t>新北市</t>
        </is>
      </c>
      <c r="C11" s="5" t="inlineStr">
        <is>
          <t>new-taipei</t>
        </is>
      </c>
      <c r="D11" s="5" t="inlineStr">
        <is>
          <t>六大直轄市</t>
        </is>
      </c>
      <c r="E11" s="5" t="inlineStr">
        <is>
          <t>公辦市地重劃</t>
        </is>
      </c>
      <c r="F11" s="5" t="inlineStr">
        <is>
          <t>public-urban-land-readjustment.html</t>
        </is>
      </c>
      <c r="G11" s="5" t="inlineStr">
        <is>
          <t>其他中小型公辦案</t>
        </is>
      </c>
      <c r="H11" s="5" t="inlineStr">
        <is>
          <t>no_named_zone</t>
        </is>
      </c>
      <c r="I11" s="5">
        <f>COUNTIFS(建案總表_642案!$E$2:$E$643,$G11)</f>
        <v/>
      </c>
      <c r="J11" s="5" t="inlineStr">
        <is>
          <t>new-taipei/其他中小型公辦案.html</t>
        </is>
      </c>
      <c r="K11" s="5" t="inlineStr">
        <is>
          <t>已存在</t>
        </is>
      </c>
      <c r="L11" s="9" t="inlineStr">
        <is>
          <t>new-taipei/其他中小型公辦案.html</t>
        </is>
      </c>
    </row>
    <row r="12">
      <c r="A12" s="5" t="n">
        <v>11</v>
      </c>
      <c r="B12" s="5" t="inlineStr">
        <is>
          <t>新北市</t>
        </is>
      </c>
      <c r="C12" s="5" t="inlineStr">
        <is>
          <t>new-taipei</t>
        </is>
      </c>
      <c r="D12" s="5" t="inlineStr">
        <is>
          <t>六大直轄市</t>
        </is>
      </c>
      <c r="E12" s="5" t="inlineStr">
        <is>
          <t>自辦市地重劃</t>
        </is>
      </c>
      <c r="F12" s="5" t="inlineStr">
        <is>
          <t>private-urban-land-readjustment.html</t>
        </is>
      </c>
      <c r="G12" s="5" t="inlineStr">
        <is>
          <t>三峽自辦重劃群</t>
        </is>
      </c>
      <c r="H12" s="5" t="inlineStr">
        <is>
          <t>researched</t>
        </is>
      </c>
      <c r="I12" s="5">
        <f>COUNTIFS(建案總表_642案!$E$2:$E$643,$G12)</f>
        <v/>
      </c>
      <c r="J12" s="5" t="inlineStr">
        <is>
          <t>new-taipei/三峽自辦重劃群.html</t>
        </is>
      </c>
      <c r="K12" s="5" t="inlineStr">
        <is>
          <t>已存在</t>
        </is>
      </c>
      <c r="L12" s="9" t="inlineStr">
        <is>
          <t>new-taipei/三峽自辦重劃群.html</t>
        </is>
      </c>
    </row>
    <row r="13">
      <c r="A13" s="5" t="n">
        <v>12</v>
      </c>
      <c r="B13" s="5" t="inlineStr">
        <is>
          <t>新北市</t>
        </is>
      </c>
      <c r="C13" s="5" t="inlineStr">
        <is>
          <t>new-taipei</t>
        </is>
      </c>
      <c r="D13" s="5" t="inlineStr">
        <is>
          <t>六大直轄市</t>
        </is>
      </c>
      <c r="E13" s="5" t="inlineStr">
        <is>
          <t>自辦市地重劃</t>
        </is>
      </c>
      <c r="F13" s="5" t="inlineStr">
        <is>
          <t>private-urban-land-readjustment.html</t>
        </is>
      </c>
      <c r="G13" s="5" t="inlineStr">
        <is>
          <t>中和自辦重劃</t>
        </is>
      </c>
      <c r="H13" s="5" t="inlineStr">
        <is>
          <t>researched</t>
        </is>
      </c>
      <c r="I13" s="5">
        <f>COUNTIFS(建案總表_642案!$E$2:$E$643,$G13)</f>
        <v/>
      </c>
      <c r="J13" s="5" t="inlineStr">
        <is>
          <t>new-taipei/中和自辦重劃.html</t>
        </is>
      </c>
      <c r="K13" s="5" t="inlineStr">
        <is>
          <t>已存在</t>
        </is>
      </c>
      <c r="L13" s="9" t="inlineStr">
        <is>
          <t>new-taipei/中和自辦重劃.html</t>
        </is>
      </c>
    </row>
    <row r="14">
      <c r="A14" s="5" t="n">
        <v>13</v>
      </c>
      <c r="B14" s="5" t="inlineStr">
        <is>
          <t>新北市</t>
        </is>
      </c>
      <c r="C14" s="5" t="inlineStr">
        <is>
          <t>new-taipei</t>
        </is>
      </c>
      <c r="D14" s="5" t="inlineStr">
        <is>
          <t>六大直轄市</t>
        </is>
      </c>
      <c r="E14" s="5" t="inlineStr">
        <is>
          <t>自辦市地重劃</t>
        </is>
      </c>
      <c r="F14" s="5" t="inlineStr">
        <is>
          <t>private-urban-land-readjustment.html</t>
        </is>
      </c>
      <c r="G14" s="5" t="inlineStr">
        <is>
          <t>樹林自辦重劃</t>
        </is>
      </c>
      <c r="H14" s="5" t="inlineStr">
        <is>
          <t>researched</t>
        </is>
      </c>
      <c r="I14" s="5">
        <f>COUNTIFS(建案總表_642案!$E$2:$E$643,$G14)</f>
        <v/>
      </c>
      <c r="J14" s="5" t="inlineStr">
        <is>
          <t>new-taipei/樹林自辦重劃.html</t>
        </is>
      </c>
      <c r="K14" s="5" t="inlineStr">
        <is>
          <t>已存在</t>
        </is>
      </c>
      <c r="L14" s="9" t="inlineStr">
        <is>
          <t>new-taipei/樹林自辦重劃.html</t>
        </is>
      </c>
    </row>
    <row r="15">
      <c r="A15" s="5" t="n">
        <v>14</v>
      </c>
      <c r="B15" s="5" t="inlineStr">
        <is>
          <t>新北市</t>
        </is>
      </c>
      <c r="C15" s="5" t="inlineStr">
        <is>
          <t>new-taipei</t>
        </is>
      </c>
      <c r="D15" s="5" t="inlineStr">
        <is>
          <t>六大直轄市</t>
        </is>
      </c>
      <c r="E15" s="5" t="inlineStr">
        <is>
          <t>區段徵收</t>
        </is>
      </c>
      <c r="F15" s="5" t="inlineStr">
        <is>
          <t>zone-expropriation.html</t>
        </is>
      </c>
      <c r="G15" s="5" t="inlineStr">
        <is>
          <t>林口新市鎮</t>
        </is>
      </c>
      <c r="H15" s="5" t="inlineStr">
        <is>
          <t>researched</t>
        </is>
      </c>
      <c r="I15" s="5">
        <f>COUNTIFS(建案總表_642案!$E$2:$E$643,$G15)</f>
        <v/>
      </c>
      <c r="J15" s="5" t="inlineStr">
        <is>
          <t>new-taipei/林口新市鎮.html</t>
        </is>
      </c>
      <c r="K15" s="5" t="inlineStr">
        <is>
          <t>已存在</t>
        </is>
      </c>
      <c r="L15" s="9" t="inlineStr">
        <is>
          <t>new-taipei/林口新市鎮.html</t>
        </is>
      </c>
    </row>
    <row r="16">
      <c r="A16" s="5" t="n">
        <v>15</v>
      </c>
      <c r="B16" s="5" t="inlineStr">
        <is>
          <t>新北市</t>
        </is>
      </c>
      <c r="C16" s="5" t="inlineStr">
        <is>
          <t>new-taipei</t>
        </is>
      </c>
      <c r="D16" s="5" t="inlineStr">
        <is>
          <t>六大直轄市</t>
        </is>
      </c>
      <c r="E16" s="5" t="inlineStr">
        <is>
          <t>區段徵收</t>
        </is>
      </c>
      <c r="F16" s="5" t="inlineStr">
        <is>
          <t>zone-expropriation.html</t>
        </is>
      </c>
      <c r="G16" s="5" t="inlineStr">
        <is>
          <t>淡海新市鎮</t>
        </is>
      </c>
      <c r="H16" s="5" t="inlineStr">
        <is>
          <t>researched</t>
        </is>
      </c>
      <c r="I16" s="5">
        <f>COUNTIFS(建案總表_642案!$E$2:$E$643,$G16)</f>
        <v/>
      </c>
      <c r="J16" s="5" t="inlineStr">
        <is>
          <t>new-taipei/淡海新市鎮.html</t>
        </is>
      </c>
      <c r="K16" s="5" t="inlineStr">
        <is>
          <t>已存在</t>
        </is>
      </c>
      <c r="L16" s="9" t="inlineStr">
        <is>
          <t>new-taipei/淡海新市鎮.html</t>
        </is>
      </c>
    </row>
    <row r="17">
      <c r="A17" s="5" t="n">
        <v>16</v>
      </c>
      <c r="B17" s="5" t="inlineStr">
        <is>
          <t>新北市</t>
        </is>
      </c>
      <c r="C17" s="5" t="inlineStr">
        <is>
          <t>new-taipei</t>
        </is>
      </c>
      <c r="D17" s="5" t="inlineStr">
        <is>
          <t>六大直轄市</t>
        </is>
      </c>
      <c r="E17" s="5" t="inlineStr">
        <is>
          <t>區段徵收</t>
        </is>
      </c>
      <c r="F17" s="5" t="inlineStr">
        <is>
          <t>zone-expropriation.html</t>
        </is>
      </c>
      <c r="G17" s="5" t="inlineStr">
        <is>
          <t>二重疏洪道區段徵收</t>
        </is>
      </c>
      <c r="H17" s="5" t="inlineStr">
        <is>
          <t>researched</t>
        </is>
      </c>
      <c r="I17" s="5">
        <f>COUNTIFS(建案總表_642案!$E$2:$E$643,$G17)</f>
        <v/>
      </c>
      <c r="J17" s="5" t="inlineStr">
        <is>
          <t>new-taipei/二重疏洪道區段徵收.html</t>
        </is>
      </c>
      <c r="K17" s="5" t="inlineStr">
        <is>
          <t>已存在</t>
        </is>
      </c>
      <c r="L17" s="9" t="inlineStr">
        <is>
          <t>new-taipei/二重疏洪道區段徵收.html</t>
        </is>
      </c>
    </row>
    <row r="18">
      <c r="A18" s="5" t="n">
        <v>17</v>
      </c>
      <c r="B18" s="5" t="inlineStr">
        <is>
          <t>新北市</t>
        </is>
      </c>
      <c r="C18" s="5" t="inlineStr">
        <is>
          <t>new-taipei</t>
        </is>
      </c>
      <c r="D18" s="5" t="inlineStr">
        <is>
          <t>六大直轄市</t>
        </is>
      </c>
      <c r="E18" s="5" t="inlineStr">
        <is>
          <t>都市更新</t>
        </is>
      </c>
      <c r="F18" s="5" t="inlineStr">
        <is>
          <t>urban-renewal.html</t>
        </is>
      </c>
      <c r="G18" s="5" t="inlineStr">
        <is>
          <t>板橋舊市區公辦都更</t>
        </is>
      </c>
      <c r="H18" s="5" t="inlineStr">
        <is>
          <t>researched</t>
        </is>
      </c>
      <c r="I18" s="5">
        <f>COUNTIFS(建案總表_642案!$E$2:$E$643,$G18)</f>
        <v/>
      </c>
      <c r="J18" s="5" t="inlineStr">
        <is>
          <t>new-taipei/板橋舊市區公辦都更.html</t>
        </is>
      </c>
      <c r="K18" s="5" t="inlineStr">
        <is>
          <t>已存在</t>
        </is>
      </c>
      <c r="L18" s="9" t="inlineStr">
        <is>
          <t>new-taipei/板橋舊市區公辦都更.html</t>
        </is>
      </c>
    </row>
    <row r="19">
      <c r="A19" s="5" t="n">
        <v>18</v>
      </c>
      <c r="B19" s="5" t="inlineStr">
        <is>
          <t>桃園市</t>
        </is>
      </c>
      <c r="C19" s="5" t="inlineStr">
        <is>
          <t>taoyuan</t>
        </is>
      </c>
      <c r="D19" s="5" t="inlineStr">
        <is>
          <t>六大直轄市</t>
        </is>
      </c>
      <c r="E19" s="5" t="inlineStr">
        <is>
          <t>公辦市地重劃</t>
        </is>
      </c>
      <c r="F19" s="5" t="inlineStr">
        <is>
          <t>public-urban-land-readjustment.html</t>
        </is>
      </c>
      <c r="G19" s="5" t="inlineStr">
        <is>
          <t>八德擴大重劃</t>
        </is>
      </c>
      <c r="H19" s="5" t="inlineStr">
        <is>
          <t>researched</t>
        </is>
      </c>
      <c r="I19" s="5">
        <f>COUNTIFS(建案總表_642案!$E$2:$E$643,$G19)</f>
        <v/>
      </c>
      <c r="J19" s="5" t="inlineStr">
        <is>
          <t>taoyuan/八德擴大重劃.html</t>
        </is>
      </c>
      <c r="K19" s="5" t="inlineStr">
        <is>
          <t>已存在</t>
        </is>
      </c>
      <c r="L19" s="9" t="inlineStr">
        <is>
          <t>taoyuan/八德擴大重劃.html</t>
        </is>
      </c>
    </row>
    <row r="20">
      <c r="A20" s="5" t="n">
        <v>19</v>
      </c>
      <c r="B20" s="5" t="inlineStr">
        <is>
          <t>桃園市</t>
        </is>
      </c>
      <c r="C20" s="5" t="inlineStr">
        <is>
          <t>taoyuan</t>
        </is>
      </c>
      <c r="D20" s="5" t="inlineStr">
        <is>
          <t>六大直轄市</t>
        </is>
      </c>
      <c r="E20" s="5" t="inlineStr">
        <is>
          <t>公辦市地重劃</t>
        </is>
      </c>
      <c r="F20" s="5" t="inlineStr">
        <is>
          <t>public-urban-land-readjustment.html</t>
        </is>
      </c>
      <c r="G20" s="5" t="inlineStr">
        <is>
          <t>平鎮公辦重劃</t>
        </is>
      </c>
      <c r="H20" s="5" t="inlineStr">
        <is>
          <t>no_data</t>
        </is>
      </c>
      <c r="I20" s="5">
        <f>COUNTIFS(建案總表_642案!$E$2:$E$643,$G20)</f>
        <v/>
      </c>
      <c r="J20" s="5" t="inlineStr">
        <is>
          <t>taoyuan/平鎮公辦重劃.html</t>
        </is>
      </c>
      <c r="K20" s="5" t="inlineStr">
        <is>
          <t>已存在</t>
        </is>
      </c>
      <c r="L20" s="9" t="inlineStr">
        <is>
          <t>taoyuan/平鎮公辦重劃.html</t>
        </is>
      </c>
    </row>
    <row r="21">
      <c r="A21" s="5" t="n">
        <v>20</v>
      </c>
      <c r="B21" s="5" t="inlineStr">
        <is>
          <t>桃園市</t>
        </is>
      </c>
      <c r="C21" s="5" t="inlineStr">
        <is>
          <t>taoyuan</t>
        </is>
      </c>
      <c r="D21" s="5" t="inlineStr">
        <is>
          <t>六大直轄市</t>
        </is>
      </c>
      <c r="E21" s="5" t="inlineStr">
        <is>
          <t>公辦市地重劃</t>
        </is>
      </c>
      <c r="F21" s="5" t="inlineStr">
        <is>
          <t>public-urban-land-readjustment.html</t>
        </is>
      </c>
      <c r="G21" s="5" t="inlineStr">
        <is>
          <t>楊梅公辦重劃</t>
        </is>
      </c>
      <c r="H21" s="5" t="inlineStr">
        <is>
          <t>no_data</t>
        </is>
      </c>
      <c r="I21" s="5">
        <f>COUNTIFS(建案總表_642案!$E$2:$E$643,$G21)</f>
        <v/>
      </c>
      <c r="J21" s="5" t="inlineStr">
        <is>
          <t>taoyuan/楊梅公辦重劃.html</t>
        </is>
      </c>
      <c r="K21" s="5" t="inlineStr">
        <is>
          <t>已存在</t>
        </is>
      </c>
      <c r="L21" s="9" t="inlineStr">
        <is>
          <t>taoyuan/楊梅公辦重劃.html</t>
        </is>
      </c>
    </row>
    <row r="22">
      <c r="A22" s="5" t="n">
        <v>21</v>
      </c>
      <c r="B22" s="5" t="inlineStr">
        <is>
          <t>桃園市</t>
        </is>
      </c>
      <c r="C22" s="5" t="inlineStr">
        <is>
          <t>taoyuan</t>
        </is>
      </c>
      <c r="D22" s="5" t="inlineStr">
        <is>
          <t>六大直轄市</t>
        </is>
      </c>
      <c r="E22" s="5" t="inlineStr">
        <is>
          <t>公辦市地重劃</t>
        </is>
      </c>
      <c r="F22" s="5" t="inlineStr">
        <is>
          <t>public-urban-land-readjustment.html</t>
        </is>
      </c>
      <c r="G22" s="5" t="inlineStr">
        <is>
          <t>其他公辦案</t>
        </is>
      </c>
      <c r="H22" s="5" t="inlineStr">
        <is>
          <t>no_named_zone</t>
        </is>
      </c>
      <c r="I22" s="5">
        <f>COUNTIFS(建案總表_642案!$E$2:$E$643,$G22)</f>
        <v/>
      </c>
      <c r="J22" s="5" t="inlineStr">
        <is>
          <t>taoyuan/其他公辦案.html</t>
        </is>
      </c>
      <c r="K22" s="5" t="inlineStr">
        <is>
          <t>已存在</t>
        </is>
      </c>
      <c r="L22" s="9" t="inlineStr">
        <is>
          <t>taoyuan/其他公辦案.html</t>
        </is>
      </c>
    </row>
    <row r="23">
      <c r="A23" s="5" t="n">
        <v>22</v>
      </c>
      <c r="B23" s="5" t="inlineStr">
        <is>
          <t>桃園市</t>
        </is>
      </c>
      <c r="C23" s="5" t="inlineStr">
        <is>
          <t>taoyuan</t>
        </is>
      </c>
      <c r="D23" s="5" t="inlineStr">
        <is>
          <t>六大直轄市</t>
        </is>
      </c>
      <c r="E23" s="5" t="inlineStr">
        <is>
          <t>自辦市地重劃</t>
        </is>
      </c>
      <c r="F23" s="5" t="inlineStr">
        <is>
          <t>private-urban-land-readjustment.html</t>
        </is>
      </c>
      <c r="G23" s="5" t="inlineStr">
        <is>
          <t>中壢自辦重劃群</t>
        </is>
      </c>
      <c r="H23" s="5" t="inlineStr">
        <is>
          <t>researched</t>
        </is>
      </c>
      <c r="I23" s="5">
        <f>COUNTIFS(建案總表_642案!$E$2:$E$643,$G23)</f>
        <v/>
      </c>
      <c r="J23" s="5" t="inlineStr">
        <is>
          <t>taoyuan/中壢自辦重劃群.html</t>
        </is>
      </c>
      <c r="K23" s="5" t="inlineStr">
        <is>
          <t>已存在</t>
        </is>
      </c>
      <c r="L23" s="9" t="inlineStr">
        <is>
          <t>taoyuan/中壢自辦重劃群.html</t>
        </is>
      </c>
    </row>
    <row r="24">
      <c r="A24" s="5" t="n">
        <v>23</v>
      </c>
      <c r="B24" s="5" t="inlineStr">
        <is>
          <t>桃園市</t>
        </is>
      </c>
      <c r="C24" s="5" t="inlineStr">
        <is>
          <t>taoyuan</t>
        </is>
      </c>
      <c r="D24" s="5" t="inlineStr">
        <is>
          <t>六大直轄市</t>
        </is>
      </c>
      <c r="E24" s="5" t="inlineStr">
        <is>
          <t>自辦市地重劃</t>
        </is>
      </c>
      <c r="F24" s="5" t="inlineStr">
        <is>
          <t>private-urban-land-readjustment.html</t>
        </is>
      </c>
      <c r="G24" s="5" t="inlineStr">
        <is>
          <t>蘆竹自辦重劃</t>
        </is>
      </c>
      <c r="H24" s="5" t="inlineStr">
        <is>
          <t>no_named_zone</t>
        </is>
      </c>
      <c r="I24" s="5">
        <f>COUNTIFS(建案總表_642案!$E$2:$E$643,$G24)</f>
        <v/>
      </c>
      <c r="J24" s="5" t="inlineStr">
        <is>
          <t>taoyuan/蘆竹自辦重劃.html</t>
        </is>
      </c>
      <c r="K24" s="5" t="inlineStr">
        <is>
          <t>已存在</t>
        </is>
      </c>
      <c r="L24" s="9" t="inlineStr">
        <is>
          <t>taoyuan/蘆竹自辦重劃.html</t>
        </is>
      </c>
    </row>
    <row r="25">
      <c r="A25" s="5" t="n">
        <v>24</v>
      </c>
      <c r="B25" s="5" t="inlineStr">
        <is>
          <t>桃園市</t>
        </is>
      </c>
      <c r="C25" s="5" t="inlineStr">
        <is>
          <t>taoyuan</t>
        </is>
      </c>
      <c r="D25" s="5" t="inlineStr">
        <is>
          <t>六大直轄市</t>
        </is>
      </c>
      <c r="E25" s="5" t="inlineStr">
        <is>
          <t>區段徵收</t>
        </is>
      </c>
      <c r="F25" s="5" t="inlineStr">
        <is>
          <t>zone-expropriation.html</t>
        </is>
      </c>
      <c r="G25" s="5" t="inlineStr">
        <is>
          <t>桃園航空城</t>
        </is>
      </c>
      <c r="H25" s="5" t="inlineStr">
        <is>
          <t>researched</t>
        </is>
      </c>
      <c r="I25" s="5">
        <f>COUNTIFS(建案總表_642案!$E$2:$E$643,$G25)</f>
        <v/>
      </c>
      <c r="J25" s="5" t="inlineStr">
        <is>
          <t>taoyuan/桃園航空城.html</t>
        </is>
      </c>
      <c r="K25" s="5" t="inlineStr">
        <is>
          <t>已存在</t>
        </is>
      </c>
      <c r="L25" s="9" t="inlineStr">
        <is>
          <t>taoyuan/桃園航空城.html</t>
        </is>
      </c>
    </row>
    <row r="26">
      <c r="A26" s="5" t="n">
        <v>25</v>
      </c>
      <c r="B26" s="5" t="inlineStr">
        <is>
          <t>桃園市</t>
        </is>
      </c>
      <c r="C26" s="5" t="inlineStr">
        <is>
          <t>taoyuan</t>
        </is>
      </c>
      <c r="D26" s="5" t="inlineStr">
        <is>
          <t>六大直轄市</t>
        </is>
      </c>
      <c r="E26" s="5" t="inlineStr">
        <is>
          <t>區段徵收</t>
        </is>
      </c>
      <c r="F26" s="5" t="inlineStr">
        <is>
          <t>zone-expropriation.html</t>
        </is>
      </c>
      <c r="G26" s="5" t="inlineStr">
        <is>
          <t>青埔高鐵特區</t>
        </is>
      </c>
      <c r="H26" s="5" t="inlineStr">
        <is>
          <t>researched</t>
        </is>
      </c>
      <c r="I26" s="5">
        <f>COUNTIFS(建案總表_642案!$E$2:$E$643,$G26)</f>
        <v/>
      </c>
      <c r="J26" s="5" t="inlineStr">
        <is>
          <t>taoyuan/青埔高鐵特區.html</t>
        </is>
      </c>
      <c r="K26" s="5" t="inlineStr">
        <is>
          <t>已存在</t>
        </is>
      </c>
      <c r="L26" s="9" t="inlineStr">
        <is>
          <t>taoyuan/青埔高鐵特區.html</t>
        </is>
      </c>
    </row>
    <row r="27">
      <c r="A27" s="5" t="n">
        <v>26</v>
      </c>
      <c r="B27" s="5" t="inlineStr">
        <is>
          <t>桃園市</t>
        </is>
      </c>
      <c r="C27" s="5" t="inlineStr">
        <is>
          <t>taoyuan</t>
        </is>
      </c>
      <c r="D27" s="5" t="inlineStr">
        <is>
          <t>六大直轄市</t>
        </is>
      </c>
      <c r="E27" s="5" t="inlineStr">
        <is>
          <t>區段徵收</t>
        </is>
      </c>
      <c r="F27" s="5" t="inlineStr">
        <is>
          <t>zone-expropriation.html</t>
        </is>
      </c>
      <c r="G27" s="5" t="inlineStr">
        <is>
          <t>中路區段徵收</t>
        </is>
      </c>
      <c r="H27" s="5" t="inlineStr">
        <is>
          <t>researched</t>
        </is>
      </c>
      <c r="I27" s="5">
        <f>COUNTIFS(建案總表_642案!$E$2:$E$643,$G27)</f>
        <v/>
      </c>
      <c r="J27" s="5" t="inlineStr">
        <is>
          <t>taoyuan/中路區段徵收.html</t>
        </is>
      </c>
      <c r="K27" s="5" t="inlineStr">
        <is>
          <t>已存在</t>
        </is>
      </c>
      <c r="L27" s="9" t="inlineStr">
        <is>
          <t>taoyuan/中路區段徵收.html</t>
        </is>
      </c>
    </row>
    <row r="28">
      <c r="A28" s="5" t="n">
        <v>27</v>
      </c>
      <c r="B28" s="5" t="inlineStr">
        <is>
          <t>桃園市</t>
        </is>
      </c>
      <c r="C28" s="5" t="inlineStr">
        <is>
          <t>taoyuan</t>
        </is>
      </c>
      <c r="D28" s="5" t="inlineStr">
        <is>
          <t>六大直轄市</t>
        </is>
      </c>
      <c r="E28" s="5" t="inlineStr">
        <is>
          <t>區段徵收</t>
        </is>
      </c>
      <c r="F28" s="5" t="inlineStr">
        <is>
          <t>zone-expropriation.html</t>
        </is>
      </c>
      <c r="G28" s="5" t="inlineStr">
        <is>
          <t>大園區段徵收</t>
        </is>
      </c>
      <c r="H28" s="5" t="inlineStr">
        <is>
          <t>researched</t>
        </is>
      </c>
      <c r="I28" s="5">
        <f>COUNTIFS(建案總表_642案!$E$2:$E$643,$G28)</f>
        <v/>
      </c>
      <c r="J28" s="5" t="inlineStr">
        <is>
          <t>taoyuan/大園區段徵收.html</t>
        </is>
      </c>
      <c r="K28" s="5" t="inlineStr">
        <is>
          <t>已存在</t>
        </is>
      </c>
      <c r="L28" s="9" t="inlineStr">
        <is>
          <t>taoyuan/大園區段徵收.html</t>
        </is>
      </c>
    </row>
    <row r="29">
      <c r="A29" s="5" t="n">
        <v>28</v>
      </c>
      <c r="B29" s="5" t="inlineStr">
        <is>
          <t>桃園市</t>
        </is>
      </c>
      <c r="C29" s="5" t="inlineStr">
        <is>
          <t>taoyuan</t>
        </is>
      </c>
      <c r="D29" s="5" t="inlineStr">
        <is>
          <t>六大直轄市</t>
        </is>
      </c>
      <c r="E29" s="5" t="inlineStr">
        <is>
          <t>都市更新</t>
        </is>
      </c>
      <c r="F29" s="5" t="inlineStr">
        <is>
          <t>urban-renewal.html</t>
        </is>
      </c>
      <c r="G29" s="5" t="inlineStr">
        <is>
          <t>舊市區零星都更</t>
        </is>
      </c>
      <c r="H29" s="5" t="inlineStr">
        <is>
          <t>researched</t>
        </is>
      </c>
      <c r="I29" s="5">
        <f>COUNTIFS(建案總表_642案!$E$2:$E$643,$G29)</f>
        <v/>
      </c>
      <c r="J29" s="5" t="inlineStr">
        <is>
          <t>taoyuan/舊市區零星都更.html</t>
        </is>
      </c>
      <c r="K29" s="5" t="inlineStr">
        <is>
          <t>已存在</t>
        </is>
      </c>
      <c r="L29" s="9" t="inlineStr">
        <is>
          <t>taoyuan/舊市區零星都更.html</t>
        </is>
      </c>
    </row>
    <row r="30">
      <c r="A30" s="5" t="n">
        <v>29</v>
      </c>
      <c r="B30" s="5" t="inlineStr">
        <is>
          <t>臺中市</t>
        </is>
      </c>
      <c r="C30" s="5" t="inlineStr">
        <is>
          <t>taichung</t>
        </is>
      </c>
      <c r="D30" s="5" t="inlineStr">
        <is>
          <t>六大直轄市</t>
        </is>
      </c>
      <c r="E30" s="5" t="inlineStr">
        <is>
          <t>公辦市地重劃</t>
        </is>
      </c>
      <c r="F30" s="5" t="inlineStr">
        <is>
          <t>public-urban-land-readjustment.html</t>
        </is>
      </c>
      <c r="G30" s="5" t="inlineStr">
        <is>
          <t>1期重劃</t>
        </is>
      </c>
      <c r="H30" s="5" t="inlineStr">
        <is>
          <t>researched</t>
        </is>
      </c>
      <c r="I30" s="5">
        <f>COUNTIFS(建案總表_642案!$E$2:$E$643,$G30)</f>
        <v/>
      </c>
      <c r="J30" s="5" t="inlineStr">
        <is>
          <t>taichung/1期重劃.html</t>
        </is>
      </c>
      <c r="K30" s="5" t="inlineStr">
        <is>
          <t>已存在</t>
        </is>
      </c>
      <c r="L30" s="9" t="inlineStr">
        <is>
          <t>taichung/1期重劃.html</t>
        </is>
      </c>
    </row>
    <row r="31">
      <c r="A31" s="5" t="n">
        <v>30</v>
      </c>
      <c r="B31" s="5" t="inlineStr">
        <is>
          <t>臺中市</t>
        </is>
      </c>
      <c r="C31" s="5" t="inlineStr">
        <is>
          <t>taichung</t>
        </is>
      </c>
      <c r="D31" s="5" t="inlineStr">
        <is>
          <t>六大直轄市</t>
        </is>
      </c>
      <c r="E31" s="5" t="inlineStr">
        <is>
          <t>公辦市地重劃</t>
        </is>
      </c>
      <c r="F31" s="5" t="inlineStr">
        <is>
          <t>public-urban-land-readjustment.html</t>
        </is>
      </c>
      <c r="G31" s="5" t="inlineStr">
        <is>
          <t>2期重劃</t>
        </is>
      </c>
      <c r="H31" s="5" t="inlineStr">
        <is>
          <t>researched</t>
        </is>
      </c>
      <c r="I31" s="5">
        <f>COUNTIFS(建案總表_642案!$E$2:$E$643,$G31)</f>
        <v/>
      </c>
      <c r="J31" s="5" t="inlineStr">
        <is>
          <t>taichung/2期重劃.html</t>
        </is>
      </c>
      <c r="K31" s="5" t="inlineStr">
        <is>
          <t>已存在</t>
        </is>
      </c>
      <c r="L31" s="9" t="inlineStr">
        <is>
          <t>taichung/2期重劃.html</t>
        </is>
      </c>
    </row>
    <row r="32">
      <c r="A32" s="5" t="n">
        <v>31</v>
      </c>
      <c r="B32" s="5" t="inlineStr">
        <is>
          <t>臺中市</t>
        </is>
      </c>
      <c r="C32" s="5" t="inlineStr">
        <is>
          <t>taichung</t>
        </is>
      </c>
      <c r="D32" s="5" t="inlineStr">
        <is>
          <t>六大直轄市</t>
        </is>
      </c>
      <c r="E32" s="5" t="inlineStr">
        <is>
          <t>公辦市地重劃</t>
        </is>
      </c>
      <c r="F32" s="5" t="inlineStr">
        <is>
          <t>public-urban-land-readjustment.html</t>
        </is>
      </c>
      <c r="G32" s="5" t="inlineStr">
        <is>
          <t>3期重劃</t>
        </is>
      </c>
      <c r="H32" s="5" t="inlineStr">
        <is>
          <t>no_data</t>
        </is>
      </c>
      <c r="I32" s="5">
        <f>COUNTIFS(建案總表_642案!$E$2:$E$643,$G32)</f>
        <v/>
      </c>
      <c r="J32" s="5" t="inlineStr">
        <is>
          <t>taichung/3期重劃.html</t>
        </is>
      </c>
      <c r="K32" s="5" t="inlineStr">
        <is>
          <t>已存在</t>
        </is>
      </c>
      <c r="L32" s="9" t="inlineStr">
        <is>
          <t>taichung/3期重劃.html</t>
        </is>
      </c>
    </row>
    <row r="33">
      <c r="A33" s="5" t="n">
        <v>32</v>
      </c>
      <c r="B33" s="5" t="inlineStr">
        <is>
          <t>臺中市</t>
        </is>
      </c>
      <c r="C33" s="5" t="inlineStr">
        <is>
          <t>taichung</t>
        </is>
      </c>
      <c r="D33" s="5" t="inlineStr">
        <is>
          <t>六大直轄市</t>
        </is>
      </c>
      <c r="E33" s="5" t="inlineStr">
        <is>
          <t>公辦市地重劃</t>
        </is>
      </c>
      <c r="F33" s="5" t="inlineStr">
        <is>
          <t>public-urban-land-readjustment.html</t>
        </is>
      </c>
      <c r="G33" s="5" t="inlineStr">
        <is>
          <t>4期重劃</t>
        </is>
      </c>
      <c r="H33" s="5" t="inlineStr">
        <is>
          <t>researched</t>
        </is>
      </c>
      <c r="I33" s="5">
        <f>COUNTIFS(建案總表_642案!$E$2:$E$643,$G33)</f>
        <v/>
      </c>
      <c r="J33" s="5" t="inlineStr">
        <is>
          <t>taichung/4期重劃.html</t>
        </is>
      </c>
      <c r="K33" s="5" t="inlineStr">
        <is>
          <t>已存在</t>
        </is>
      </c>
      <c r="L33" s="9" t="inlineStr">
        <is>
          <t>taichung/4期重劃.html</t>
        </is>
      </c>
    </row>
    <row r="34">
      <c r="A34" s="5" t="n">
        <v>33</v>
      </c>
      <c r="B34" s="5" t="inlineStr">
        <is>
          <t>臺中市</t>
        </is>
      </c>
      <c r="C34" s="5" t="inlineStr">
        <is>
          <t>taichung</t>
        </is>
      </c>
      <c r="D34" s="5" t="inlineStr">
        <is>
          <t>六大直轄市</t>
        </is>
      </c>
      <c r="E34" s="5" t="inlineStr">
        <is>
          <t>公辦市地重劃</t>
        </is>
      </c>
      <c r="F34" s="5" t="inlineStr">
        <is>
          <t>public-urban-land-readjustment.html</t>
        </is>
      </c>
      <c r="G34" s="5" t="inlineStr">
        <is>
          <t>5期重劃</t>
        </is>
      </c>
      <c r="H34" s="5" t="inlineStr">
        <is>
          <t>researched</t>
        </is>
      </c>
      <c r="I34" s="5">
        <f>COUNTIFS(建案總表_642案!$E$2:$E$643,$G34)</f>
        <v/>
      </c>
      <c r="J34" s="5" t="inlineStr">
        <is>
          <t>taichung/5期重劃.html</t>
        </is>
      </c>
      <c r="K34" s="5" t="inlineStr">
        <is>
          <t>已存在</t>
        </is>
      </c>
      <c r="L34" s="9" t="inlineStr">
        <is>
          <t>taichung/5期重劃.html</t>
        </is>
      </c>
    </row>
    <row r="35">
      <c r="A35" s="5" t="n">
        <v>34</v>
      </c>
      <c r="B35" s="5" t="inlineStr">
        <is>
          <t>臺中市</t>
        </is>
      </c>
      <c r="C35" s="5" t="inlineStr">
        <is>
          <t>taichung</t>
        </is>
      </c>
      <c r="D35" s="5" t="inlineStr">
        <is>
          <t>六大直轄市</t>
        </is>
      </c>
      <c r="E35" s="5" t="inlineStr">
        <is>
          <t>公辦市地重劃</t>
        </is>
      </c>
      <c r="F35" s="5" t="inlineStr">
        <is>
          <t>public-urban-land-readjustment.html</t>
        </is>
      </c>
      <c r="G35" s="5" t="inlineStr">
        <is>
          <t>6期重劃</t>
        </is>
      </c>
      <c r="H35" s="5" t="inlineStr">
        <is>
          <t>researched</t>
        </is>
      </c>
      <c r="I35" s="5">
        <f>COUNTIFS(建案總表_642案!$E$2:$E$643,$G35)</f>
        <v/>
      </c>
      <c r="J35" s="5" t="inlineStr">
        <is>
          <t>taichung/6期重劃.html</t>
        </is>
      </c>
      <c r="K35" s="5" t="inlineStr">
        <is>
          <t>已存在</t>
        </is>
      </c>
      <c r="L35" s="9" t="inlineStr">
        <is>
          <t>taichung/6期重劃.html</t>
        </is>
      </c>
    </row>
    <row r="36">
      <c r="A36" s="5" t="n">
        <v>35</v>
      </c>
      <c r="B36" s="5" t="inlineStr">
        <is>
          <t>臺中市</t>
        </is>
      </c>
      <c r="C36" s="5" t="inlineStr">
        <is>
          <t>taichung</t>
        </is>
      </c>
      <c r="D36" s="5" t="inlineStr">
        <is>
          <t>六大直轄市</t>
        </is>
      </c>
      <c r="E36" s="5" t="inlineStr">
        <is>
          <t>公辦市地重劃</t>
        </is>
      </c>
      <c r="F36" s="5" t="inlineStr">
        <is>
          <t>public-urban-land-readjustment.html</t>
        </is>
      </c>
      <c r="G36" s="5" t="inlineStr">
        <is>
          <t>7期重劃</t>
        </is>
      </c>
      <c r="H36" s="5" t="inlineStr">
        <is>
          <t>researched</t>
        </is>
      </c>
      <c r="I36" s="5">
        <f>COUNTIFS(建案總表_642案!$E$2:$E$643,$G36)</f>
        <v/>
      </c>
      <c r="J36" s="5" t="inlineStr">
        <is>
          <t>taichung/7期重劃.html</t>
        </is>
      </c>
      <c r="K36" s="5" t="inlineStr">
        <is>
          <t>已存在</t>
        </is>
      </c>
      <c r="L36" s="9" t="inlineStr">
        <is>
          <t>taichung/7期重劃.html</t>
        </is>
      </c>
    </row>
    <row r="37">
      <c r="A37" s="5" t="n">
        <v>36</v>
      </c>
      <c r="B37" s="5" t="inlineStr">
        <is>
          <t>臺中市</t>
        </is>
      </c>
      <c r="C37" s="5" t="inlineStr">
        <is>
          <t>taichung</t>
        </is>
      </c>
      <c r="D37" s="5" t="inlineStr">
        <is>
          <t>六大直轄市</t>
        </is>
      </c>
      <c r="E37" s="5" t="inlineStr">
        <is>
          <t>公辦市地重劃</t>
        </is>
      </c>
      <c r="F37" s="5" t="inlineStr">
        <is>
          <t>public-urban-land-readjustment.html</t>
        </is>
      </c>
      <c r="G37" s="5" t="inlineStr">
        <is>
          <t>8期重劃</t>
        </is>
      </c>
      <c r="H37" s="5" t="inlineStr">
        <is>
          <t>researched</t>
        </is>
      </c>
      <c r="I37" s="5">
        <f>COUNTIFS(建案總表_642案!$E$2:$E$643,$G37)</f>
        <v/>
      </c>
      <c r="J37" s="5" t="inlineStr">
        <is>
          <t>taichung/8期重劃.html</t>
        </is>
      </c>
      <c r="K37" s="5" t="inlineStr">
        <is>
          <t>已存在</t>
        </is>
      </c>
      <c r="L37" s="9" t="inlineStr">
        <is>
          <t>taichung/8期重劃.html</t>
        </is>
      </c>
    </row>
    <row r="38">
      <c r="A38" s="5" t="n">
        <v>37</v>
      </c>
      <c r="B38" s="5" t="inlineStr">
        <is>
          <t>臺中市</t>
        </is>
      </c>
      <c r="C38" s="5" t="inlineStr">
        <is>
          <t>taichung</t>
        </is>
      </c>
      <c r="D38" s="5" t="inlineStr">
        <is>
          <t>六大直轄市</t>
        </is>
      </c>
      <c r="E38" s="5" t="inlineStr">
        <is>
          <t>公辦市地重劃</t>
        </is>
      </c>
      <c r="F38" s="5" t="inlineStr">
        <is>
          <t>public-urban-land-readjustment.html</t>
        </is>
      </c>
      <c r="G38" s="5" t="inlineStr">
        <is>
          <t>9期重劃</t>
        </is>
      </c>
      <c r="H38" s="5" t="inlineStr">
        <is>
          <t>researched</t>
        </is>
      </c>
      <c r="I38" s="5">
        <f>COUNTIFS(建案總表_642案!$E$2:$E$643,$G38)</f>
        <v/>
      </c>
      <c r="J38" s="5" t="inlineStr">
        <is>
          <t>taichung/9期重劃.html</t>
        </is>
      </c>
      <c r="K38" s="5" t="inlineStr">
        <is>
          <t>已存在</t>
        </is>
      </c>
      <c r="L38" s="9" t="inlineStr">
        <is>
          <t>taichung/9期重劃.html</t>
        </is>
      </c>
    </row>
    <row r="39">
      <c r="A39" s="5" t="n">
        <v>38</v>
      </c>
      <c r="B39" s="5" t="inlineStr">
        <is>
          <t>臺中市</t>
        </is>
      </c>
      <c r="C39" s="5" t="inlineStr">
        <is>
          <t>taichung</t>
        </is>
      </c>
      <c r="D39" s="5" t="inlineStr">
        <is>
          <t>六大直轄市</t>
        </is>
      </c>
      <c r="E39" s="5" t="inlineStr">
        <is>
          <t>公辦市地重劃</t>
        </is>
      </c>
      <c r="F39" s="5" t="inlineStr">
        <is>
          <t>public-urban-land-readjustment.html</t>
        </is>
      </c>
      <c r="G39" s="5" t="inlineStr">
        <is>
          <t>10期重劃</t>
        </is>
      </c>
      <c r="H39" s="5" t="inlineStr">
        <is>
          <t>researched</t>
        </is>
      </c>
      <c r="I39" s="5">
        <f>COUNTIFS(建案總表_642案!$E$2:$E$643,$G39)</f>
        <v/>
      </c>
      <c r="J39" s="5" t="inlineStr">
        <is>
          <t>taichung/10期重劃.html</t>
        </is>
      </c>
      <c r="K39" s="5" t="inlineStr">
        <is>
          <t>已存在</t>
        </is>
      </c>
      <c r="L39" s="9" t="inlineStr">
        <is>
          <t>taichung/10期重劃.html</t>
        </is>
      </c>
    </row>
    <row r="40">
      <c r="A40" s="5" t="n">
        <v>39</v>
      </c>
      <c r="B40" s="5" t="inlineStr">
        <is>
          <t>臺中市</t>
        </is>
      </c>
      <c r="C40" s="5" t="inlineStr">
        <is>
          <t>taichung</t>
        </is>
      </c>
      <c r="D40" s="5" t="inlineStr">
        <is>
          <t>六大直轄市</t>
        </is>
      </c>
      <c r="E40" s="5" t="inlineStr">
        <is>
          <t>公辦市地重劃</t>
        </is>
      </c>
      <c r="F40" s="5" t="inlineStr">
        <is>
          <t>public-urban-land-readjustment.html</t>
        </is>
      </c>
      <c r="G40" s="5" t="inlineStr">
        <is>
          <t>11期重劃</t>
        </is>
      </c>
      <c r="H40" s="5" t="inlineStr">
        <is>
          <t>researched</t>
        </is>
      </c>
      <c r="I40" s="5">
        <f>COUNTIFS(建案總表_642案!$E$2:$E$643,$G40)</f>
        <v/>
      </c>
      <c r="J40" s="5" t="inlineStr">
        <is>
          <t>taichung/11期重劃.html</t>
        </is>
      </c>
      <c r="K40" s="5" t="inlineStr">
        <is>
          <t>已存在</t>
        </is>
      </c>
      <c r="L40" s="9" t="inlineStr">
        <is>
          <t>taichung/11期重劃.html</t>
        </is>
      </c>
    </row>
    <row r="41">
      <c r="A41" s="5" t="n">
        <v>40</v>
      </c>
      <c r="B41" s="5" t="inlineStr">
        <is>
          <t>臺中市</t>
        </is>
      </c>
      <c r="C41" s="5" t="inlineStr">
        <is>
          <t>taichung</t>
        </is>
      </c>
      <c r="D41" s="5" t="inlineStr">
        <is>
          <t>六大直轄市</t>
        </is>
      </c>
      <c r="E41" s="5" t="inlineStr">
        <is>
          <t>公辦市地重劃</t>
        </is>
      </c>
      <c r="F41" s="5" t="inlineStr">
        <is>
          <t>public-urban-land-readjustment.html</t>
        </is>
      </c>
      <c r="G41" s="5" t="inlineStr">
        <is>
          <t>12期重劃</t>
        </is>
      </c>
      <c r="H41" s="5" t="inlineStr">
        <is>
          <t>researched</t>
        </is>
      </c>
      <c r="I41" s="5">
        <f>COUNTIFS(建案總表_642案!$E$2:$E$643,$G41)</f>
        <v/>
      </c>
      <c r="J41" s="5" t="inlineStr">
        <is>
          <t>taichung/12期重劃.html</t>
        </is>
      </c>
      <c r="K41" s="5" t="inlineStr">
        <is>
          <t>已存在</t>
        </is>
      </c>
      <c r="L41" s="9" t="inlineStr">
        <is>
          <t>taichung/12期重劃.html</t>
        </is>
      </c>
    </row>
    <row r="42">
      <c r="A42" s="5" t="n">
        <v>41</v>
      </c>
      <c r="B42" s="5" t="inlineStr">
        <is>
          <t>臺中市</t>
        </is>
      </c>
      <c r="C42" s="5" t="inlineStr">
        <is>
          <t>taichung</t>
        </is>
      </c>
      <c r="D42" s="5" t="inlineStr">
        <is>
          <t>六大直轄市</t>
        </is>
      </c>
      <c r="E42" s="5" t="inlineStr">
        <is>
          <t>公辦市地重劃</t>
        </is>
      </c>
      <c r="F42" s="5" t="inlineStr">
        <is>
          <t>public-urban-land-readjustment.html</t>
        </is>
      </c>
      <c r="G42" s="5" t="inlineStr">
        <is>
          <t>13期重劃</t>
        </is>
      </c>
      <c r="H42" s="5" t="inlineStr">
        <is>
          <t>researched</t>
        </is>
      </c>
      <c r="I42" s="5">
        <f>COUNTIFS(建案總表_642案!$E$2:$E$643,$G42)</f>
        <v/>
      </c>
      <c r="J42" s="5" t="inlineStr">
        <is>
          <t>taichung/13期重劃.html</t>
        </is>
      </c>
      <c r="K42" s="5" t="inlineStr">
        <is>
          <t>已存在</t>
        </is>
      </c>
      <c r="L42" s="9" t="inlineStr">
        <is>
          <t>taichung/13期重劃.html</t>
        </is>
      </c>
    </row>
    <row r="43">
      <c r="A43" s="5" t="n">
        <v>42</v>
      </c>
      <c r="B43" s="5" t="inlineStr">
        <is>
          <t>臺中市</t>
        </is>
      </c>
      <c r="C43" s="5" t="inlineStr">
        <is>
          <t>taichung</t>
        </is>
      </c>
      <c r="D43" s="5" t="inlineStr">
        <is>
          <t>六大直轄市</t>
        </is>
      </c>
      <c r="E43" s="5" t="inlineStr">
        <is>
          <t>公辦市地重劃</t>
        </is>
      </c>
      <c r="F43" s="5" t="inlineStr">
        <is>
          <t>public-urban-land-readjustment.html</t>
        </is>
      </c>
      <c r="G43" s="5" t="inlineStr">
        <is>
          <t>14期重劃</t>
        </is>
      </c>
      <c r="H43" s="5" t="inlineStr">
        <is>
          <t>researched</t>
        </is>
      </c>
      <c r="I43" s="5">
        <f>COUNTIFS(建案總表_642案!$E$2:$E$643,$G43)</f>
        <v/>
      </c>
      <c r="J43" s="5" t="inlineStr">
        <is>
          <t>taichung/14期重劃.html</t>
        </is>
      </c>
      <c r="K43" s="5" t="inlineStr">
        <is>
          <t>已存在</t>
        </is>
      </c>
      <c r="L43" s="9" t="inlineStr">
        <is>
          <t>taichung/14期重劃.html</t>
        </is>
      </c>
    </row>
    <row r="44">
      <c r="A44" s="5" t="n">
        <v>43</v>
      </c>
      <c r="B44" s="5" t="inlineStr">
        <is>
          <t>臺中市</t>
        </is>
      </c>
      <c r="C44" s="5" t="inlineStr">
        <is>
          <t>taichung</t>
        </is>
      </c>
      <c r="D44" s="5" t="inlineStr">
        <is>
          <t>六大直轄市</t>
        </is>
      </c>
      <c r="E44" s="5" t="inlineStr">
        <is>
          <t>公辦市地重劃</t>
        </is>
      </c>
      <c r="F44" s="5" t="inlineStr">
        <is>
          <t>public-urban-land-readjustment.html</t>
        </is>
      </c>
      <c r="G44" s="5" t="inlineStr">
        <is>
          <t>太平公辦重劃</t>
        </is>
      </c>
      <c r="H44" s="5" t="inlineStr">
        <is>
          <t>researched</t>
        </is>
      </c>
      <c r="I44" s="5">
        <f>COUNTIFS(建案總表_642案!$E$2:$E$643,$G44)</f>
        <v/>
      </c>
      <c r="J44" s="5" t="inlineStr">
        <is>
          <t>taichung/太平公辦重劃.html</t>
        </is>
      </c>
      <c r="K44" s="5" t="inlineStr">
        <is>
          <t>已存在</t>
        </is>
      </c>
      <c r="L44" s="9" t="inlineStr">
        <is>
          <t>taichung/太平公辦重劃.html</t>
        </is>
      </c>
    </row>
    <row r="45">
      <c r="A45" s="5" t="n">
        <v>44</v>
      </c>
      <c r="B45" s="5" t="inlineStr">
        <is>
          <t>臺中市</t>
        </is>
      </c>
      <c r="C45" s="5" t="inlineStr">
        <is>
          <t>taichung</t>
        </is>
      </c>
      <c r="D45" s="5" t="inlineStr">
        <is>
          <t>六大直轄市</t>
        </is>
      </c>
      <c r="E45" s="5" t="inlineStr">
        <is>
          <t>公辦市地重劃</t>
        </is>
      </c>
      <c r="F45" s="5" t="inlineStr">
        <is>
          <t>public-urban-land-readjustment.html</t>
        </is>
      </c>
      <c r="G45" s="5" t="inlineStr">
        <is>
          <t>烏日公辦重劃</t>
        </is>
      </c>
      <c r="H45" s="5" t="inlineStr">
        <is>
          <t>researched</t>
        </is>
      </c>
      <c r="I45" s="5">
        <f>COUNTIFS(建案總表_642案!$E$2:$E$643,$G45)</f>
        <v/>
      </c>
      <c r="J45" s="5" t="inlineStr">
        <is>
          <t>taichung/烏日公辦重劃.html</t>
        </is>
      </c>
      <c r="K45" s="5" t="inlineStr">
        <is>
          <t>已存在</t>
        </is>
      </c>
      <c r="L45" s="9" t="inlineStr">
        <is>
          <t>taichung/烏日公辦重劃.html</t>
        </is>
      </c>
    </row>
    <row r="46">
      <c r="A46" s="5" t="n">
        <v>45</v>
      </c>
      <c r="B46" s="5" t="inlineStr">
        <is>
          <t>臺中市</t>
        </is>
      </c>
      <c r="C46" s="5" t="inlineStr">
        <is>
          <t>taichung</t>
        </is>
      </c>
      <c r="D46" s="5" t="inlineStr">
        <is>
          <t>六大直轄市</t>
        </is>
      </c>
      <c r="E46" s="5" t="inlineStr">
        <is>
          <t>公辦市地重劃</t>
        </is>
      </c>
      <c r="F46" s="5" t="inlineStr">
        <is>
          <t>public-urban-land-readjustment.html</t>
        </is>
      </c>
      <c r="G46" s="5" t="inlineStr">
        <is>
          <t>霧峰公辦重劃</t>
        </is>
      </c>
      <c r="H46" s="5" t="inlineStr">
        <is>
          <t>researched</t>
        </is>
      </c>
      <c r="I46" s="5">
        <f>COUNTIFS(建案總表_642案!$E$2:$E$643,$G46)</f>
        <v/>
      </c>
      <c r="J46" s="5" t="inlineStr">
        <is>
          <t>taichung/霧峰公辦重劃.html</t>
        </is>
      </c>
      <c r="K46" s="5" t="inlineStr">
        <is>
          <t>已存在</t>
        </is>
      </c>
      <c r="L46" s="9" t="inlineStr">
        <is>
          <t>taichung/霧峰公辦重劃.html</t>
        </is>
      </c>
    </row>
    <row r="47">
      <c r="A47" s="5" t="n">
        <v>46</v>
      </c>
      <c r="B47" s="5" t="inlineStr">
        <is>
          <t>臺中市</t>
        </is>
      </c>
      <c r="C47" s="5" t="inlineStr">
        <is>
          <t>taichung</t>
        </is>
      </c>
      <c r="D47" s="5" t="inlineStr">
        <is>
          <t>六大直轄市</t>
        </is>
      </c>
      <c r="E47" s="5" t="inlineStr">
        <is>
          <t>公辦市地重劃</t>
        </is>
      </c>
      <c r="F47" s="5" t="inlineStr">
        <is>
          <t>public-urban-land-readjustment.html</t>
        </is>
      </c>
      <c r="G47" s="5" t="inlineStr">
        <is>
          <t>沙鹿公辦重劃</t>
        </is>
      </c>
      <c r="H47" s="5" t="inlineStr">
        <is>
          <t>researched</t>
        </is>
      </c>
      <c r="I47" s="5">
        <f>COUNTIFS(建案總表_642案!$E$2:$E$643,$G47)</f>
        <v/>
      </c>
      <c r="J47" s="5" t="inlineStr">
        <is>
          <t>taichung/沙鹿公辦重劃.html</t>
        </is>
      </c>
      <c r="K47" s="5" t="inlineStr">
        <is>
          <t>已存在</t>
        </is>
      </c>
      <c r="L47" s="9" t="inlineStr">
        <is>
          <t>taichung/沙鹿公辦重劃.html</t>
        </is>
      </c>
    </row>
    <row r="48">
      <c r="A48" s="5" t="n">
        <v>47</v>
      </c>
      <c r="B48" s="5" t="inlineStr">
        <is>
          <t>臺中市</t>
        </is>
      </c>
      <c r="C48" s="5" t="inlineStr">
        <is>
          <t>taichung</t>
        </is>
      </c>
      <c r="D48" s="5" t="inlineStr">
        <is>
          <t>六大直轄市</t>
        </is>
      </c>
      <c r="E48" s="5" t="inlineStr">
        <is>
          <t>公辦市地重劃</t>
        </is>
      </c>
      <c r="F48" s="5" t="inlineStr">
        <is>
          <t>public-urban-land-readjustment.html</t>
        </is>
      </c>
      <c r="G48" s="5" t="inlineStr">
        <is>
          <t>豐原公辦重劃</t>
        </is>
      </c>
      <c r="H48" s="5" t="inlineStr">
        <is>
          <t>researched</t>
        </is>
      </c>
      <c r="I48" s="5">
        <f>COUNTIFS(建案總表_642案!$E$2:$E$643,$G48)</f>
        <v/>
      </c>
      <c r="J48" s="5" t="inlineStr">
        <is>
          <t>taichung/豐原公辦重劃.html</t>
        </is>
      </c>
      <c r="K48" s="5" t="inlineStr">
        <is>
          <t>已存在</t>
        </is>
      </c>
      <c r="L48" s="9" t="inlineStr">
        <is>
          <t>taichung/豐原公辦重劃.html</t>
        </is>
      </c>
    </row>
    <row r="49">
      <c r="A49" s="5" t="n">
        <v>48</v>
      </c>
      <c r="B49" s="5" t="inlineStr">
        <is>
          <t>臺中市</t>
        </is>
      </c>
      <c r="C49" s="5" t="inlineStr">
        <is>
          <t>taichung</t>
        </is>
      </c>
      <c r="D49" s="5" t="inlineStr">
        <is>
          <t>六大直轄市</t>
        </is>
      </c>
      <c r="E49" s="5" t="inlineStr">
        <is>
          <t>自辦市地重劃</t>
        </is>
      </c>
      <c r="F49" s="5" t="inlineStr">
        <is>
          <t>private-urban-land-readjustment.html</t>
        </is>
      </c>
      <c r="G49" s="5" t="inlineStr">
        <is>
          <t>大里自辦重劃</t>
        </is>
      </c>
      <c r="H49" s="5" t="inlineStr">
        <is>
          <t>researched</t>
        </is>
      </c>
      <c r="I49" s="5">
        <f>COUNTIFS(建案總表_642案!$E$2:$E$643,$G49)</f>
        <v/>
      </c>
      <c r="J49" s="5" t="inlineStr">
        <is>
          <t>taichung/大里自辦重劃.html</t>
        </is>
      </c>
      <c r="K49" s="5" t="inlineStr">
        <is>
          <t>已存在</t>
        </is>
      </c>
      <c r="L49" s="9" t="inlineStr">
        <is>
          <t>taichung/大里自辦重劃.html</t>
        </is>
      </c>
    </row>
    <row r="50">
      <c r="A50" s="5" t="n">
        <v>49</v>
      </c>
      <c r="B50" s="5" t="inlineStr">
        <is>
          <t>臺中市</t>
        </is>
      </c>
      <c r="C50" s="5" t="inlineStr">
        <is>
          <t>taichung</t>
        </is>
      </c>
      <c r="D50" s="5" t="inlineStr">
        <is>
          <t>六大直轄市</t>
        </is>
      </c>
      <c r="E50" s="5" t="inlineStr">
        <is>
          <t>自辦市地重劃</t>
        </is>
      </c>
      <c r="F50" s="5" t="inlineStr">
        <is>
          <t>private-urban-land-readjustment.html</t>
        </is>
      </c>
      <c r="G50" s="5" t="inlineStr">
        <is>
          <t>大雅自辦重劃</t>
        </is>
      </c>
      <c r="H50" s="5" t="inlineStr">
        <is>
          <t>researched</t>
        </is>
      </c>
      <c r="I50" s="5">
        <f>COUNTIFS(建案總表_642案!$E$2:$E$643,$G50)</f>
        <v/>
      </c>
      <c r="J50" s="5" t="inlineStr">
        <is>
          <t>taichung/大雅自辦重劃.html</t>
        </is>
      </c>
      <c r="K50" s="5" t="inlineStr">
        <is>
          <t>已存在</t>
        </is>
      </c>
      <c r="L50" s="9" t="inlineStr">
        <is>
          <t>taichung/大雅自辦重劃.html</t>
        </is>
      </c>
    </row>
    <row r="51">
      <c r="A51" s="5" t="n">
        <v>50</v>
      </c>
      <c r="B51" s="5" t="inlineStr">
        <is>
          <t>臺中市</t>
        </is>
      </c>
      <c r="C51" s="5" t="inlineStr">
        <is>
          <t>taichung</t>
        </is>
      </c>
      <c r="D51" s="5" t="inlineStr">
        <is>
          <t>六大直轄市</t>
        </is>
      </c>
      <c r="E51" s="5" t="inlineStr">
        <is>
          <t>自辦市地重劃</t>
        </is>
      </c>
      <c r="F51" s="5" t="inlineStr">
        <is>
          <t>private-urban-land-readjustment.html</t>
        </is>
      </c>
      <c r="G51" s="5" t="inlineStr">
        <is>
          <t>其他鄉鎮自辦案</t>
        </is>
      </c>
      <c r="H51" s="5" t="inlineStr">
        <is>
          <t>no_named_zone</t>
        </is>
      </c>
      <c r="I51" s="5">
        <f>COUNTIFS(建案總表_642案!$E$2:$E$643,$G51)</f>
        <v/>
      </c>
      <c r="J51" s="5" t="inlineStr">
        <is>
          <t>taichung/其他鄉鎮自辦案.html</t>
        </is>
      </c>
      <c r="K51" s="5" t="inlineStr">
        <is>
          <t>已存在</t>
        </is>
      </c>
      <c r="L51" s="9" t="inlineStr">
        <is>
          <t>taichung/其他鄉鎮自辦案.html</t>
        </is>
      </c>
    </row>
    <row r="52">
      <c r="A52" s="5" t="n">
        <v>51</v>
      </c>
      <c r="B52" s="5" t="inlineStr">
        <is>
          <t>臺中市</t>
        </is>
      </c>
      <c r="C52" s="5" t="inlineStr">
        <is>
          <t>taichung</t>
        </is>
      </c>
      <c r="D52" s="5" t="inlineStr">
        <is>
          <t>六大直轄市</t>
        </is>
      </c>
      <c r="E52" s="5" t="inlineStr">
        <is>
          <t>區段徵收</t>
        </is>
      </c>
      <c r="F52" s="5" t="inlineStr">
        <is>
          <t>zone-expropriation.html</t>
        </is>
      </c>
      <c r="G52" s="5" t="inlineStr">
        <is>
          <t>水湳智慧城（區段徵收）</t>
        </is>
      </c>
      <c r="H52" s="5" t="inlineStr">
        <is>
          <t>researched</t>
        </is>
      </c>
      <c r="I52" s="5">
        <f>COUNTIFS(建案總表_642案!$E$2:$E$643,$G52)</f>
        <v/>
      </c>
      <c r="J52" s="5" t="inlineStr">
        <is>
          <t>taichung/水湳智慧城（區段徵收）.html</t>
        </is>
      </c>
      <c r="K52" s="5" t="inlineStr">
        <is>
          <t>已存在</t>
        </is>
      </c>
      <c r="L52" s="9" t="inlineStr">
        <is>
          <t>taichung/水湳智慧城（區段徵收）.html</t>
        </is>
      </c>
    </row>
    <row r="53">
      <c r="A53" s="5" t="n">
        <v>52</v>
      </c>
      <c r="B53" s="5" t="inlineStr">
        <is>
          <t>臺中市</t>
        </is>
      </c>
      <c r="C53" s="5" t="inlineStr">
        <is>
          <t>taichung</t>
        </is>
      </c>
      <c r="D53" s="5" t="inlineStr">
        <is>
          <t>六大直轄市</t>
        </is>
      </c>
      <c r="E53" s="5" t="inlineStr">
        <is>
          <t>都市更新</t>
        </is>
      </c>
      <c r="F53" s="5" t="inlineStr">
        <is>
          <t>urban-renewal.html</t>
        </is>
      </c>
      <c r="G53" s="5" t="inlineStr">
        <is>
          <t>舊市區零星都更</t>
        </is>
      </c>
      <c r="H53" s="5" t="inlineStr">
        <is>
          <t>no_named_zone</t>
        </is>
      </c>
      <c r="I53" s="5">
        <f>COUNTIFS(建案總表_642案!$E$2:$E$643,$G53)</f>
        <v/>
      </c>
      <c r="J53" s="5" t="inlineStr">
        <is>
          <t>taichung/舊市區零星都更.html</t>
        </is>
      </c>
      <c r="K53" s="5" t="inlineStr">
        <is>
          <t>已存在</t>
        </is>
      </c>
      <c r="L53" s="9" t="inlineStr">
        <is>
          <t>taichung/舊市區零星都更.html</t>
        </is>
      </c>
    </row>
    <row r="54">
      <c r="A54" s="5" t="n">
        <v>53</v>
      </c>
      <c r="B54" s="5" t="inlineStr">
        <is>
          <t>臺南市</t>
        </is>
      </c>
      <c r="C54" s="5" t="inlineStr">
        <is>
          <t>tainan</t>
        </is>
      </c>
      <c r="D54" s="5" t="inlineStr">
        <is>
          <t>六大直轄市</t>
        </is>
      </c>
      <c r="E54" s="5" t="inlineStr">
        <is>
          <t>公辦市地重劃</t>
        </is>
      </c>
      <c r="F54" s="5" t="inlineStr">
        <is>
          <t>public-urban-land-readjustment.html</t>
        </is>
      </c>
      <c r="G54" s="5" t="inlineStr">
        <is>
          <t>東區重劃</t>
        </is>
      </c>
      <c r="H54" s="5" t="inlineStr">
        <is>
          <t>researched</t>
        </is>
      </c>
      <c r="I54" s="5">
        <f>COUNTIFS(建案總表_642案!$E$2:$E$643,$G54)</f>
        <v/>
      </c>
      <c r="J54" s="5" t="inlineStr">
        <is>
          <t>tainan/東區重劃.html</t>
        </is>
      </c>
      <c r="K54" s="5" t="inlineStr">
        <is>
          <t>已存在</t>
        </is>
      </c>
      <c r="L54" s="9" t="inlineStr">
        <is>
          <t>tainan/東區重劃.html</t>
        </is>
      </c>
    </row>
    <row r="55">
      <c r="A55" s="5" t="n">
        <v>54</v>
      </c>
      <c r="B55" s="5" t="inlineStr">
        <is>
          <t>臺南市</t>
        </is>
      </c>
      <c r="C55" s="5" t="inlineStr">
        <is>
          <t>tainan</t>
        </is>
      </c>
      <c r="D55" s="5" t="inlineStr">
        <is>
          <t>六大直轄市</t>
        </is>
      </c>
      <c r="E55" s="5" t="inlineStr">
        <is>
          <t>公辦市地重劃</t>
        </is>
      </c>
      <c r="F55" s="5" t="inlineStr">
        <is>
          <t>public-urban-land-readjustment.html</t>
        </is>
      </c>
      <c r="G55" s="5" t="inlineStr">
        <is>
          <t>永康公辦重劃</t>
        </is>
      </c>
      <c r="H55" s="5" t="inlineStr">
        <is>
          <t>researched</t>
        </is>
      </c>
      <c r="I55" s="5">
        <f>COUNTIFS(建案總表_642案!$E$2:$E$643,$G55)</f>
        <v/>
      </c>
      <c r="J55" s="5" t="inlineStr">
        <is>
          <t>tainan/永康公辦重劃.html</t>
        </is>
      </c>
      <c r="K55" s="5" t="inlineStr">
        <is>
          <t>已存在</t>
        </is>
      </c>
      <c r="L55" s="9" t="inlineStr">
        <is>
          <t>tainan/永康公辦重劃.html</t>
        </is>
      </c>
    </row>
    <row r="56">
      <c r="A56" s="5" t="n">
        <v>55</v>
      </c>
      <c r="B56" s="5" t="inlineStr">
        <is>
          <t>臺南市</t>
        </is>
      </c>
      <c r="C56" s="5" t="inlineStr">
        <is>
          <t>tainan</t>
        </is>
      </c>
      <c r="D56" s="5" t="inlineStr">
        <is>
          <t>六大直轄市</t>
        </is>
      </c>
      <c r="E56" s="5" t="inlineStr">
        <is>
          <t>公辦市地重劃</t>
        </is>
      </c>
      <c r="F56" s="5" t="inlineStr">
        <is>
          <t>public-urban-land-readjustment.html</t>
        </is>
      </c>
      <c r="G56" s="5" t="inlineStr">
        <is>
          <t>歸仁公辦重劃</t>
        </is>
      </c>
      <c r="H56" s="5" t="inlineStr">
        <is>
          <t>researched</t>
        </is>
      </c>
      <c r="I56" s="5">
        <f>COUNTIFS(建案總表_642案!$E$2:$E$643,$G56)</f>
        <v/>
      </c>
      <c r="J56" s="5" t="inlineStr">
        <is>
          <t>tainan/歸仁公辦重劃.html</t>
        </is>
      </c>
      <c r="K56" s="5" t="inlineStr">
        <is>
          <t>已存在</t>
        </is>
      </c>
      <c r="L56" s="9" t="inlineStr">
        <is>
          <t>tainan/歸仁公辦重劃.html</t>
        </is>
      </c>
    </row>
    <row r="57">
      <c r="A57" s="5" t="n">
        <v>56</v>
      </c>
      <c r="B57" s="5" t="inlineStr">
        <is>
          <t>臺南市</t>
        </is>
      </c>
      <c r="C57" s="5" t="inlineStr">
        <is>
          <t>tainan</t>
        </is>
      </c>
      <c r="D57" s="5" t="inlineStr">
        <is>
          <t>六大直轄市</t>
        </is>
      </c>
      <c r="E57" s="5" t="inlineStr">
        <is>
          <t>公辦市地重劃</t>
        </is>
      </c>
      <c r="F57" s="5" t="inlineStr">
        <is>
          <t>public-urban-land-readjustment.html</t>
        </is>
      </c>
      <c r="G57" s="5" t="inlineStr">
        <is>
          <t>仁德公辦重劃</t>
        </is>
      </c>
      <c r="H57" s="5" t="inlineStr">
        <is>
          <t>researched</t>
        </is>
      </c>
      <c r="I57" s="5">
        <f>COUNTIFS(建案總表_642案!$E$2:$E$643,$G57)</f>
        <v/>
      </c>
      <c r="J57" s="5" t="inlineStr">
        <is>
          <t>tainan/仁德公辦重劃.html</t>
        </is>
      </c>
      <c r="K57" s="5" t="inlineStr">
        <is>
          <t>已存在</t>
        </is>
      </c>
      <c r="L57" s="9" t="inlineStr">
        <is>
          <t>tainan/仁德公辦重劃.html</t>
        </is>
      </c>
    </row>
    <row r="58">
      <c r="A58" s="5" t="n">
        <v>57</v>
      </c>
      <c r="B58" s="5" t="inlineStr">
        <is>
          <t>臺南市</t>
        </is>
      </c>
      <c r="C58" s="5" t="inlineStr">
        <is>
          <t>tainan</t>
        </is>
      </c>
      <c r="D58" s="5" t="inlineStr">
        <is>
          <t>六大直轄市</t>
        </is>
      </c>
      <c r="E58" s="5" t="inlineStr">
        <is>
          <t>公辦市地重劃</t>
        </is>
      </c>
      <c r="F58" s="5" t="inlineStr">
        <is>
          <t>public-urban-land-readjustment.html</t>
        </is>
      </c>
      <c r="G58" s="5" t="inlineStr">
        <is>
          <t>其他公辦案</t>
        </is>
      </c>
      <c r="H58" s="5" t="inlineStr">
        <is>
          <t>no_named_zone</t>
        </is>
      </c>
      <c r="I58" s="5">
        <f>COUNTIFS(建案總表_642案!$E$2:$E$643,$G58)</f>
        <v/>
      </c>
      <c r="J58" s="5" t="inlineStr">
        <is>
          <t>tainan/其他公辦案.html</t>
        </is>
      </c>
      <c r="K58" s="5" t="inlineStr">
        <is>
          <t>已存在</t>
        </is>
      </c>
      <c r="L58" s="9" t="inlineStr">
        <is>
          <t>tainan/其他公辦案.html</t>
        </is>
      </c>
    </row>
    <row r="59">
      <c r="A59" s="5" t="n">
        <v>58</v>
      </c>
      <c r="B59" s="5" t="inlineStr">
        <is>
          <t>臺南市</t>
        </is>
      </c>
      <c r="C59" s="5" t="inlineStr">
        <is>
          <t>tainan</t>
        </is>
      </c>
      <c r="D59" s="5" t="inlineStr">
        <is>
          <t>六大直轄市</t>
        </is>
      </c>
      <c r="E59" s="5" t="inlineStr">
        <is>
          <t>自辦市地重劃</t>
        </is>
      </c>
      <c r="F59" s="5" t="inlineStr">
        <is>
          <t>private-urban-land-readjustment.html</t>
        </is>
      </c>
      <c r="G59" s="5" t="inlineStr">
        <is>
          <t>安南自辦重劃群</t>
        </is>
      </c>
      <c r="H59" s="5" t="inlineStr">
        <is>
          <t>researched</t>
        </is>
      </c>
      <c r="I59" s="5">
        <f>COUNTIFS(建案總表_642案!$E$2:$E$643,$G59)</f>
        <v/>
      </c>
      <c r="J59" s="5" t="inlineStr">
        <is>
          <t>tainan/安南自辦重劃群.html</t>
        </is>
      </c>
      <c r="K59" s="5" t="inlineStr">
        <is>
          <t>已存在</t>
        </is>
      </c>
      <c r="L59" s="9" t="inlineStr">
        <is>
          <t>tainan/安南自辦重劃群.html</t>
        </is>
      </c>
    </row>
    <row r="60">
      <c r="A60" s="5" t="n">
        <v>59</v>
      </c>
      <c r="B60" s="5" t="inlineStr">
        <is>
          <t>臺南市</t>
        </is>
      </c>
      <c r="C60" s="5" t="inlineStr">
        <is>
          <t>tainan</t>
        </is>
      </c>
      <c r="D60" s="5" t="inlineStr">
        <is>
          <t>六大直轄市</t>
        </is>
      </c>
      <c r="E60" s="5" t="inlineStr">
        <is>
          <t>自辦市地重劃</t>
        </is>
      </c>
      <c r="F60" s="5" t="inlineStr">
        <is>
          <t>private-urban-land-readjustment.html</t>
        </is>
      </c>
      <c r="G60" s="5" t="inlineStr">
        <is>
          <t>其他鄉鎮自辦案</t>
        </is>
      </c>
      <c r="H60" s="5" t="inlineStr">
        <is>
          <t>no_named_zone</t>
        </is>
      </c>
      <c r="I60" s="5">
        <f>COUNTIFS(建案總表_642案!$E$2:$E$643,$G60)</f>
        <v/>
      </c>
      <c r="J60" s="5" t="inlineStr">
        <is>
          <t>tainan/其他鄉鎮自辦案.html</t>
        </is>
      </c>
      <c r="K60" s="5" t="inlineStr">
        <is>
          <t>已存在</t>
        </is>
      </c>
      <c r="L60" s="9" t="inlineStr">
        <is>
          <t>tainan/其他鄉鎮自辦案.html</t>
        </is>
      </c>
    </row>
    <row r="61">
      <c r="A61" s="5" t="n">
        <v>60</v>
      </c>
      <c r="B61" s="5" t="inlineStr">
        <is>
          <t>臺南市</t>
        </is>
      </c>
      <c r="C61" s="5" t="inlineStr">
        <is>
          <t>tainan</t>
        </is>
      </c>
      <c r="D61" s="5" t="inlineStr">
        <is>
          <t>六大直轄市</t>
        </is>
      </c>
      <c r="E61" s="5" t="inlineStr">
        <is>
          <t>區段徵收</t>
        </is>
      </c>
      <c r="F61" s="5" t="inlineStr">
        <is>
          <t>zone-expropriation.html</t>
        </is>
      </c>
      <c r="G61" s="5" t="inlineStr">
        <is>
          <t>九份子特區</t>
        </is>
      </c>
      <c r="H61" s="5" t="inlineStr">
        <is>
          <t>researched</t>
        </is>
      </c>
      <c r="I61" s="5">
        <f>COUNTIFS(建案總表_642案!$E$2:$E$643,$G61)</f>
        <v/>
      </c>
      <c r="J61" s="5" t="inlineStr">
        <is>
          <t>tainan/九份子特區.html</t>
        </is>
      </c>
      <c r="K61" s="5" t="inlineStr">
        <is>
          <t>已存在</t>
        </is>
      </c>
      <c r="L61" s="9" t="inlineStr">
        <is>
          <t>tainan/九份子特區.html</t>
        </is>
      </c>
    </row>
    <row r="62">
      <c r="A62" s="5" t="n">
        <v>61</v>
      </c>
      <c r="B62" s="5" t="inlineStr">
        <is>
          <t>臺南市</t>
        </is>
      </c>
      <c r="C62" s="5" t="inlineStr">
        <is>
          <t>tainan</t>
        </is>
      </c>
      <c r="D62" s="5" t="inlineStr">
        <is>
          <t>六大直轄市</t>
        </is>
      </c>
      <c r="E62" s="5" t="inlineStr">
        <is>
          <t>區段徵收</t>
        </is>
      </c>
      <c r="F62" s="5" t="inlineStr">
        <is>
          <t>zone-expropriation.html</t>
        </is>
      </c>
      <c r="G62" s="5" t="inlineStr">
        <is>
          <t>南科特定區</t>
        </is>
      </c>
      <c r="H62" s="5" t="inlineStr">
        <is>
          <t>researched</t>
        </is>
      </c>
      <c r="I62" s="5">
        <f>COUNTIFS(建案總表_642案!$E$2:$E$643,$G62)</f>
        <v/>
      </c>
      <c r="J62" s="5" t="inlineStr">
        <is>
          <t>tainan/南科特定區.html</t>
        </is>
      </c>
      <c r="K62" s="5" t="inlineStr">
        <is>
          <t>已存在</t>
        </is>
      </c>
      <c r="L62" s="9" t="inlineStr">
        <is>
          <t>tainan/南科特定區.html</t>
        </is>
      </c>
    </row>
    <row r="63">
      <c r="A63" s="5" t="n">
        <v>62</v>
      </c>
      <c r="B63" s="5" t="inlineStr">
        <is>
          <t>臺南市</t>
        </is>
      </c>
      <c r="C63" s="5" t="inlineStr">
        <is>
          <t>tainan</t>
        </is>
      </c>
      <c r="D63" s="5" t="inlineStr">
        <is>
          <t>六大直轄市</t>
        </is>
      </c>
      <c r="E63" s="5" t="inlineStr">
        <is>
          <t>區段徵收</t>
        </is>
      </c>
      <c r="F63" s="5" t="inlineStr">
        <is>
          <t>zone-expropriation.html</t>
        </is>
      </c>
      <c r="G63" s="5" t="inlineStr">
        <is>
          <t>善化區段徵收</t>
        </is>
      </c>
      <c r="H63" s="5" t="inlineStr">
        <is>
          <t>researched</t>
        </is>
      </c>
      <c r="I63" s="5">
        <f>COUNTIFS(建案總表_642案!$E$2:$E$643,$G63)</f>
        <v/>
      </c>
      <c r="J63" s="5" t="inlineStr">
        <is>
          <t>tainan/善化區段徵收.html</t>
        </is>
      </c>
      <c r="K63" s="5" t="inlineStr">
        <is>
          <t>已存在</t>
        </is>
      </c>
      <c r="L63" s="9" t="inlineStr">
        <is>
          <t>tainan/善化區段徵收.html</t>
        </is>
      </c>
    </row>
    <row r="64">
      <c r="A64" s="5" t="n">
        <v>63</v>
      </c>
      <c r="B64" s="5" t="inlineStr">
        <is>
          <t>臺南市</t>
        </is>
      </c>
      <c r="C64" s="5" t="inlineStr">
        <is>
          <t>tainan</t>
        </is>
      </c>
      <c r="D64" s="5" t="inlineStr">
        <is>
          <t>六大直轄市</t>
        </is>
      </c>
      <c r="E64" s="5" t="inlineStr">
        <is>
          <t>都市更新</t>
        </is>
      </c>
      <c r="F64" s="5" t="inlineStr">
        <is>
          <t>urban-renewal.html</t>
        </is>
      </c>
      <c r="G64" s="5" t="inlineStr">
        <is>
          <t>舊市區零星都更</t>
        </is>
      </c>
      <c r="H64" s="5" t="inlineStr">
        <is>
          <t>researched</t>
        </is>
      </c>
      <c r="I64" s="5">
        <f>COUNTIFS(建案總表_642案!$E$2:$E$643,$G64)</f>
        <v/>
      </c>
      <c r="J64" s="5" t="inlineStr">
        <is>
          <t>tainan/舊市區零星都更.html</t>
        </is>
      </c>
      <c r="K64" s="5" t="inlineStr">
        <is>
          <t>已存在</t>
        </is>
      </c>
      <c r="L64" s="9" t="inlineStr">
        <is>
          <t>tainan/舊市區零星都更.html</t>
        </is>
      </c>
    </row>
    <row r="65">
      <c r="A65" s="5" t="n">
        <v>64</v>
      </c>
      <c r="B65" s="5" t="inlineStr">
        <is>
          <t>高雄市</t>
        </is>
      </c>
      <c r="C65" s="5" t="inlineStr">
        <is>
          <t>kaohsiung</t>
        </is>
      </c>
      <c r="D65" s="5" t="inlineStr">
        <is>
          <t>六大直轄市</t>
        </is>
      </c>
      <c r="E65" s="5" t="inlineStr">
        <is>
          <t>公辦市地重劃</t>
        </is>
      </c>
      <c r="F65" s="5" t="inlineStr">
        <is>
          <t>public-urban-land-readjustment.html</t>
        </is>
      </c>
      <c r="G65" s="5" t="inlineStr">
        <is>
          <t>鳳山公辦重劃</t>
        </is>
      </c>
      <c r="H65" s="5" t="inlineStr">
        <is>
          <t>researched</t>
        </is>
      </c>
      <c r="I65" s="5">
        <f>COUNTIFS(建案總表_642案!$E$2:$E$643,$G65)</f>
        <v/>
      </c>
      <c r="J65" s="5" t="inlineStr">
        <is>
          <t>kaohsiung/鳳山公辦重劃.html</t>
        </is>
      </c>
      <c r="K65" s="5" t="inlineStr">
        <is>
          <t>已存在</t>
        </is>
      </c>
      <c r="L65" s="9" t="inlineStr">
        <is>
          <t>kaohsiung/鳳山公辦重劃.html</t>
        </is>
      </c>
    </row>
    <row r="66">
      <c r="A66" s="5" t="n">
        <v>65</v>
      </c>
      <c r="B66" s="5" t="inlineStr">
        <is>
          <t>高雄市</t>
        </is>
      </c>
      <c r="C66" s="5" t="inlineStr">
        <is>
          <t>kaohsiung</t>
        </is>
      </c>
      <c r="D66" s="5" t="inlineStr">
        <is>
          <t>六大直轄市</t>
        </is>
      </c>
      <c r="E66" s="5" t="inlineStr">
        <is>
          <t>公辦市地重劃</t>
        </is>
      </c>
      <c r="F66" s="5" t="inlineStr">
        <is>
          <t>public-urban-land-readjustment.html</t>
        </is>
      </c>
      <c r="G66" s="5" t="inlineStr">
        <is>
          <t>岡山公辦重劃</t>
        </is>
      </c>
      <c r="H66" s="5" t="inlineStr">
        <is>
          <t>researched</t>
        </is>
      </c>
      <c r="I66" s="5">
        <f>COUNTIFS(建案總表_642案!$E$2:$E$643,$G66)</f>
        <v/>
      </c>
      <c r="J66" s="5" t="inlineStr">
        <is>
          <t>kaohsiung/岡山公辦重劃.html</t>
        </is>
      </c>
      <c r="K66" s="5" t="inlineStr">
        <is>
          <t>已存在</t>
        </is>
      </c>
      <c r="L66" s="9" t="inlineStr">
        <is>
          <t>kaohsiung/岡山公辦重劃.html</t>
        </is>
      </c>
    </row>
    <row r="67">
      <c r="A67" s="5" t="n">
        <v>66</v>
      </c>
      <c r="B67" s="5" t="inlineStr">
        <is>
          <t>高雄市</t>
        </is>
      </c>
      <c r="C67" s="5" t="inlineStr">
        <is>
          <t>kaohsiung</t>
        </is>
      </c>
      <c r="D67" s="5" t="inlineStr">
        <is>
          <t>六大直轄市</t>
        </is>
      </c>
      <c r="E67" s="5" t="inlineStr">
        <is>
          <t>公辦市地重劃</t>
        </is>
      </c>
      <c r="F67" s="5" t="inlineStr">
        <is>
          <t>public-urban-land-readjustment.html</t>
        </is>
      </c>
      <c r="G67" s="5" t="inlineStr">
        <is>
          <t>大寮公辦重劃</t>
        </is>
      </c>
      <c r="H67" s="5" t="inlineStr">
        <is>
          <t>researched</t>
        </is>
      </c>
      <c r="I67" s="5">
        <f>COUNTIFS(建案總表_642案!$E$2:$E$643,$G67)</f>
        <v/>
      </c>
      <c r="J67" s="5" t="inlineStr">
        <is>
          <t>kaohsiung/大寮公辦重劃.html</t>
        </is>
      </c>
      <c r="K67" s="5" t="inlineStr">
        <is>
          <t>已存在</t>
        </is>
      </c>
      <c r="L67" s="9" t="inlineStr">
        <is>
          <t>kaohsiung/大寮公辦重劃.html</t>
        </is>
      </c>
    </row>
    <row r="68">
      <c r="A68" s="5" t="n">
        <v>67</v>
      </c>
      <c r="B68" s="5" t="inlineStr">
        <is>
          <t>高雄市</t>
        </is>
      </c>
      <c r="C68" s="5" t="inlineStr">
        <is>
          <t>kaohsiung</t>
        </is>
      </c>
      <c r="D68" s="5" t="inlineStr">
        <is>
          <t>六大直轄市</t>
        </is>
      </c>
      <c r="E68" s="5" t="inlineStr">
        <is>
          <t>公辦市地重劃</t>
        </is>
      </c>
      <c r="F68" s="5" t="inlineStr">
        <is>
          <t>public-urban-land-readjustment.html</t>
        </is>
      </c>
      <c r="G68" s="5" t="inlineStr">
        <is>
          <t>路竹公辦重劃</t>
        </is>
      </c>
      <c r="H68" s="5" t="inlineStr">
        <is>
          <t>researched</t>
        </is>
      </c>
      <c r="I68" s="5">
        <f>COUNTIFS(建案總表_642案!$E$2:$E$643,$G68)</f>
        <v/>
      </c>
      <c r="J68" s="5" t="inlineStr">
        <is>
          <t>kaohsiung/路竹公辦重劃.html</t>
        </is>
      </c>
      <c r="K68" s="5" t="inlineStr">
        <is>
          <t>已存在</t>
        </is>
      </c>
      <c r="L68" s="9" t="inlineStr">
        <is>
          <t>kaohsiung/路竹公辦重劃.html</t>
        </is>
      </c>
    </row>
    <row r="69">
      <c r="A69" s="5" t="n">
        <v>68</v>
      </c>
      <c r="B69" s="5" t="inlineStr">
        <is>
          <t>高雄市</t>
        </is>
      </c>
      <c r="C69" s="5" t="inlineStr">
        <is>
          <t>kaohsiung</t>
        </is>
      </c>
      <c r="D69" s="5" t="inlineStr">
        <is>
          <t>六大直轄市</t>
        </is>
      </c>
      <c r="E69" s="5" t="inlineStr">
        <is>
          <t>公辦市地重劃</t>
        </is>
      </c>
      <c r="F69" s="5" t="inlineStr">
        <is>
          <t>public-urban-land-readjustment.html</t>
        </is>
      </c>
      <c r="G69" s="5" t="inlineStr">
        <is>
          <t>其他公辦案</t>
        </is>
      </c>
      <c r="H69" s="5" t="inlineStr">
        <is>
          <t>no_named_zone</t>
        </is>
      </c>
      <c r="I69" s="5">
        <f>COUNTIFS(建案總表_642案!$E$2:$E$643,$G69)</f>
        <v/>
      </c>
      <c r="J69" s="5" t="inlineStr">
        <is>
          <t>kaohsiung/其他公辦案.html</t>
        </is>
      </c>
      <c r="K69" s="5" t="inlineStr">
        <is>
          <t>已存在</t>
        </is>
      </c>
      <c r="L69" s="9" t="inlineStr">
        <is>
          <t>kaohsiung/其他公辦案.html</t>
        </is>
      </c>
    </row>
    <row r="70">
      <c r="A70" s="5" t="n">
        <v>69</v>
      </c>
      <c r="B70" s="5" t="inlineStr">
        <is>
          <t>高雄市</t>
        </is>
      </c>
      <c r="C70" s="5" t="inlineStr">
        <is>
          <t>kaohsiung</t>
        </is>
      </c>
      <c r="D70" s="5" t="inlineStr">
        <is>
          <t>六大直轄市</t>
        </is>
      </c>
      <c r="E70" s="5" t="inlineStr">
        <is>
          <t>自辦市地重劃</t>
        </is>
      </c>
      <c r="F70" s="5" t="inlineStr">
        <is>
          <t>private-urban-land-readjustment.html</t>
        </is>
      </c>
      <c r="G70" s="5" t="inlineStr">
        <is>
          <t>梓官自辦重劃</t>
        </is>
      </c>
      <c r="H70" s="5" t="inlineStr">
        <is>
          <t>researched</t>
        </is>
      </c>
      <c r="I70" s="5">
        <f>COUNTIFS(建案總表_642案!$E$2:$E$643,$G70)</f>
        <v/>
      </c>
      <c r="J70" s="5" t="inlineStr">
        <is>
          <t>kaohsiung/梓官自辦重劃.html</t>
        </is>
      </c>
      <c r="K70" s="5" t="inlineStr">
        <is>
          <t>已存在</t>
        </is>
      </c>
      <c r="L70" s="9" t="inlineStr">
        <is>
          <t>kaohsiung/梓官自辦重劃.html</t>
        </is>
      </c>
    </row>
    <row r="71">
      <c r="A71" s="5" t="n">
        <v>70</v>
      </c>
      <c r="B71" s="5" t="inlineStr">
        <is>
          <t>高雄市</t>
        </is>
      </c>
      <c r="C71" s="5" t="inlineStr">
        <is>
          <t>kaohsiung</t>
        </is>
      </c>
      <c r="D71" s="5" t="inlineStr">
        <is>
          <t>六大直轄市</t>
        </is>
      </c>
      <c r="E71" s="5" t="inlineStr">
        <is>
          <t>自辦市地重劃</t>
        </is>
      </c>
      <c r="F71" s="5" t="inlineStr">
        <is>
          <t>private-urban-land-readjustment.html</t>
        </is>
      </c>
      <c r="G71" s="5" t="inlineStr">
        <is>
          <t>彌陀自辦重劃</t>
        </is>
      </c>
      <c r="H71" s="5" t="inlineStr">
        <is>
          <t>no_data</t>
        </is>
      </c>
      <c r="I71" s="5">
        <f>COUNTIFS(建案總表_642案!$E$2:$E$643,$G71)</f>
        <v/>
      </c>
      <c r="J71" s="5" t="inlineStr">
        <is>
          <t>kaohsiung/彌陀自辦重劃.html</t>
        </is>
      </c>
      <c r="K71" s="5" t="inlineStr">
        <is>
          <t>已存在</t>
        </is>
      </c>
      <c r="L71" s="9" t="inlineStr">
        <is>
          <t>kaohsiung/彌陀自辦重劃.html</t>
        </is>
      </c>
    </row>
    <row r="72">
      <c r="A72" s="5" t="n">
        <v>71</v>
      </c>
      <c r="B72" s="5" t="inlineStr">
        <is>
          <t>高雄市</t>
        </is>
      </c>
      <c r="C72" s="5" t="inlineStr">
        <is>
          <t>kaohsiung</t>
        </is>
      </c>
      <c r="D72" s="5" t="inlineStr">
        <is>
          <t>六大直轄市</t>
        </is>
      </c>
      <c r="E72" s="5" t="inlineStr">
        <is>
          <t>自辦市地重劃</t>
        </is>
      </c>
      <c r="F72" s="5" t="inlineStr">
        <is>
          <t>private-urban-land-readjustment.html</t>
        </is>
      </c>
      <c r="G72" s="5" t="inlineStr">
        <is>
          <t>其他鄉鎮自辦案</t>
        </is>
      </c>
      <c r="H72" s="5" t="inlineStr">
        <is>
          <t>no_named_zone</t>
        </is>
      </c>
      <c r="I72" s="5">
        <f>COUNTIFS(建案總表_642案!$E$2:$E$643,$G72)</f>
        <v/>
      </c>
      <c r="J72" s="5" t="inlineStr">
        <is>
          <t>kaohsiung/其他鄉鎮自辦案.html</t>
        </is>
      </c>
      <c r="K72" s="5" t="inlineStr">
        <is>
          <t>已存在</t>
        </is>
      </c>
      <c r="L72" s="9" t="inlineStr">
        <is>
          <t>kaohsiung/其他鄉鎮自辦案.html</t>
        </is>
      </c>
    </row>
    <row r="73">
      <c r="A73" s="5" t="n">
        <v>72</v>
      </c>
      <c r="B73" s="5" t="inlineStr">
        <is>
          <t>高雄市</t>
        </is>
      </c>
      <c r="C73" s="5" t="inlineStr">
        <is>
          <t>kaohsiung</t>
        </is>
      </c>
      <c r="D73" s="5" t="inlineStr">
        <is>
          <t>六大直轄市</t>
        </is>
      </c>
      <c r="E73" s="5" t="inlineStr">
        <is>
          <t>區段徵收</t>
        </is>
      </c>
      <c r="F73" s="5" t="inlineStr">
        <is>
          <t>zone-expropriation.html</t>
        </is>
      </c>
      <c r="G73" s="5" t="inlineStr">
        <is>
          <t>農16特區</t>
        </is>
      </c>
      <c r="H73" s="5" t="inlineStr">
        <is>
          <t>researched</t>
        </is>
      </c>
      <c r="I73" s="5">
        <f>COUNTIFS(建案總表_642案!$E$2:$E$643,$G73)</f>
        <v/>
      </c>
      <c r="J73" s="5" t="inlineStr">
        <is>
          <t>kaohsiung/農16特區.html</t>
        </is>
      </c>
      <c r="K73" s="5" t="inlineStr">
        <is>
          <t>已存在</t>
        </is>
      </c>
      <c r="L73" s="9" t="inlineStr">
        <is>
          <t>kaohsiung/農16特區.html</t>
        </is>
      </c>
    </row>
    <row r="74">
      <c r="A74" s="5" t="n">
        <v>73</v>
      </c>
      <c r="B74" s="5" t="inlineStr">
        <is>
          <t>高雄市</t>
        </is>
      </c>
      <c r="C74" s="5" t="inlineStr">
        <is>
          <t>kaohsiung</t>
        </is>
      </c>
      <c r="D74" s="5" t="inlineStr">
        <is>
          <t>六大直轄市</t>
        </is>
      </c>
      <c r="E74" s="5" t="inlineStr">
        <is>
          <t>區段徵收</t>
        </is>
      </c>
      <c r="F74" s="5" t="inlineStr">
        <is>
          <t>zone-expropriation.html</t>
        </is>
      </c>
      <c r="G74" s="5" t="inlineStr">
        <is>
          <t>亞洲新灣區</t>
        </is>
      </c>
      <c r="H74" s="5" t="inlineStr">
        <is>
          <t>researched</t>
        </is>
      </c>
      <c r="I74" s="5">
        <f>COUNTIFS(建案總表_642案!$E$2:$E$643,$G74)</f>
        <v/>
      </c>
      <c r="J74" s="5" t="inlineStr">
        <is>
          <t>kaohsiung/亞洲新灣區.html</t>
        </is>
      </c>
      <c r="K74" s="5" t="inlineStr">
        <is>
          <t>已存在</t>
        </is>
      </c>
      <c r="L74" s="9" t="inlineStr">
        <is>
          <t>kaohsiung/亞洲新灣區.html</t>
        </is>
      </c>
    </row>
    <row r="75">
      <c r="A75" s="5" t="n">
        <v>74</v>
      </c>
      <c r="B75" s="5" t="inlineStr">
        <is>
          <t>高雄市</t>
        </is>
      </c>
      <c r="C75" s="5" t="inlineStr">
        <is>
          <t>kaohsiung</t>
        </is>
      </c>
      <c r="D75" s="5" t="inlineStr">
        <is>
          <t>六大直轄市</t>
        </is>
      </c>
      <c r="E75" s="5" t="inlineStr">
        <is>
          <t>區段徵收</t>
        </is>
      </c>
      <c r="F75" s="5" t="inlineStr">
        <is>
          <t>zone-expropriation.html</t>
        </is>
      </c>
      <c r="G75" s="5" t="inlineStr">
        <is>
          <t>仁武區段徵收</t>
        </is>
      </c>
      <c r="H75" s="5" t="inlineStr">
        <is>
          <t>researched</t>
        </is>
      </c>
      <c r="I75" s="5">
        <f>COUNTIFS(建案總表_642案!$E$2:$E$643,$G75)</f>
        <v/>
      </c>
      <c r="J75" s="5" t="inlineStr">
        <is>
          <t>kaohsiung/仁武區段徵收.html</t>
        </is>
      </c>
      <c r="K75" s="5" t="inlineStr">
        <is>
          <t>已存在</t>
        </is>
      </c>
      <c r="L75" s="9" t="inlineStr">
        <is>
          <t>kaohsiung/仁武區段徵收.html</t>
        </is>
      </c>
    </row>
    <row r="76">
      <c r="A76" s="5" t="n">
        <v>75</v>
      </c>
      <c r="B76" s="5" t="inlineStr">
        <is>
          <t>高雄市</t>
        </is>
      </c>
      <c r="C76" s="5" t="inlineStr">
        <is>
          <t>kaohsiung</t>
        </is>
      </c>
      <c r="D76" s="5" t="inlineStr">
        <is>
          <t>六大直轄市</t>
        </is>
      </c>
      <c r="E76" s="5" t="inlineStr">
        <is>
          <t>區段徵收</t>
        </is>
      </c>
      <c r="F76" s="5" t="inlineStr">
        <is>
          <t>zone-expropriation.html</t>
        </is>
      </c>
      <c r="G76" s="5" t="inlineStr">
        <is>
          <t>岡山區段徵收</t>
        </is>
      </c>
      <c r="H76" s="5" t="inlineStr">
        <is>
          <t>no_named_zone</t>
        </is>
      </c>
      <c r="I76" s="5">
        <f>COUNTIFS(建案總表_642案!$E$2:$E$643,$G76)</f>
        <v/>
      </c>
      <c r="J76" s="5" t="inlineStr">
        <is>
          <t>kaohsiung/岡山區段徵收.html</t>
        </is>
      </c>
      <c r="K76" s="5" t="inlineStr">
        <is>
          <t>已存在</t>
        </is>
      </c>
      <c r="L76" s="9" t="inlineStr">
        <is>
          <t>kaohsiung/岡山區段徵收.html</t>
        </is>
      </c>
    </row>
    <row r="77">
      <c r="A77" s="5" t="n">
        <v>76</v>
      </c>
      <c r="B77" s="5" t="inlineStr">
        <is>
          <t>高雄市</t>
        </is>
      </c>
      <c r="C77" s="5" t="inlineStr">
        <is>
          <t>kaohsiung</t>
        </is>
      </c>
      <c r="D77" s="5" t="inlineStr">
        <is>
          <t>六大直轄市</t>
        </is>
      </c>
      <c r="E77" s="5" t="inlineStr">
        <is>
          <t>區段徵收</t>
        </is>
      </c>
      <c r="F77" s="5" t="inlineStr">
        <is>
          <t>zone-expropriation.html</t>
        </is>
      </c>
      <c r="G77" s="5" t="inlineStr">
        <is>
          <t>橋頭科學園區段徵收</t>
        </is>
      </c>
      <c r="H77" s="5" t="inlineStr">
        <is>
          <t>researched</t>
        </is>
      </c>
      <c r="I77" s="5">
        <f>COUNTIFS(建案總表_642案!$E$2:$E$643,$G77)</f>
        <v/>
      </c>
      <c r="J77" s="5" t="inlineStr">
        <is>
          <t>kaohsiung/橋頭科學園區段徵收.html</t>
        </is>
      </c>
      <c r="K77" s="5" t="inlineStr">
        <is>
          <t>已存在</t>
        </is>
      </c>
      <c r="L77" s="9" t="inlineStr">
        <is>
          <t>kaohsiung/橋頭科學園區段徵收.html</t>
        </is>
      </c>
    </row>
    <row r="78">
      <c r="A78" s="5" t="n">
        <v>77</v>
      </c>
      <c r="B78" s="5" t="inlineStr">
        <is>
          <t>高雄市</t>
        </is>
      </c>
      <c r="C78" s="5" t="inlineStr">
        <is>
          <t>kaohsiung</t>
        </is>
      </c>
      <c r="D78" s="5" t="inlineStr">
        <is>
          <t>六大直轄市</t>
        </is>
      </c>
      <c r="E78" s="5" t="inlineStr">
        <is>
          <t>都市更新</t>
        </is>
      </c>
      <c r="F78" s="5" t="inlineStr">
        <is>
          <t>urban-renewal.html</t>
        </is>
      </c>
      <c r="G78" s="5" t="inlineStr">
        <is>
          <t>舊市區零星都更</t>
        </is>
      </c>
      <c r="H78" s="5" t="inlineStr">
        <is>
          <t>no_named_zone</t>
        </is>
      </c>
      <c r="I78" s="5">
        <f>COUNTIFS(建案總表_642案!$E$2:$E$643,$G78)</f>
        <v/>
      </c>
      <c r="J78" s="5" t="inlineStr">
        <is>
          <t>kaohsiung/舊市區零星都更.html</t>
        </is>
      </c>
      <c r="K78" s="5" t="inlineStr">
        <is>
          <t>已存在</t>
        </is>
      </c>
      <c r="L78" s="9" t="inlineStr">
        <is>
          <t>kaohsiung/舊市區零星都更.html</t>
        </is>
      </c>
    </row>
    <row r="79">
      <c r="A79" s="5" t="n">
        <v>78</v>
      </c>
      <c r="B79" s="5" t="inlineStr">
        <is>
          <t>基隆市</t>
        </is>
      </c>
      <c r="C79" s="5" t="inlineStr">
        <is>
          <t>keelung</t>
        </is>
      </c>
      <c r="D79" s="5" t="inlineStr">
        <is>
          <t>北部地區</t>
        </is>
      </c>
      <c r="E79" s="5" t="inlineStr">
        <is>
          <t>公辦市地重劃</t>
        </is>
      </c>
      <c r="F79" s="5" t="inlineStr">
        <is>
          <t>public-urban-land-readjustment.html</t>
        </is>
      </c>
      <c r="G79" s="5" t="inlineStr">
        <is>
          <t>市區小型公辦案</t>
        </is>
      </c>
      <c r="H79" s="5" t="inlineStr">
        <is>
          <t>no_named_zone</t>
        </is>
      </c>
      <c r="I79" s="5">
        <f>COUNTIFS(建案總表_642案!$E$2:$E$643,$G79)</f>
        <v/>
      </c>
      <c r="J79" s="5" t="inlineStr">
        <is>
          <t>keelung/市區小型公辦案.html</t>
        </is>
      </c>
      <c r="K79" s="5" t="inlineStr">
        <is>
          <t>已存在</t>
        </is>
      </c>
      <c r="L79" s="9" t="inlineStr">
        <is>
          <t>keelung/市區小型公辦案.html</t>
        </is>
      </c>
    </row>
    <row r="80">
      <c r="A80" s="5" t="n">
        <v>79</v>
      </c>
      <c r="B80" s="5" t="inlineStr">
        <is>
          <t>基隆市</t>
        </is>
      </c>
      <c r="C80" s="5" t="inlineStr">
        <is>
          <t>keelung</t>
        </is>
      </c>
      <c r="D80" s="5" t="inlineStr">
        <is>
          <t>北部地區</t>
        </is>
      </c>
      <c r="E80" s="5" t="inlineStr">
        <is>
          <t>自辦市地重劃</t>
        </is>
      </c>
      <c r="F80" s="5" t="inlineStr">
        <is>
          <t>private-urban-land-readjustment.html</t>
        </is>
      </c>
      <c r="G80" s="5" t="inlineStr">
        <is>
          <t>市區小型自辦重劃</t>
        </is>
      </c>
      <c r="H80" s="5" t="inlineStr">
        <is>
          <t>no_named_zone</t>
        </is>
      </c>
      <c r="I80" s="5">
        <f>COUNTIFS(建案總表_642案!$E$2:$E$643,$G80)</f>
        <v/>
      </c>
      <c r="J80" s="5" t="inlineStr">
        <is>
          <t>keelung/市區小型自辦重劃.html</t>
        </is>
      </c>
      <c r="K80" s="5" t="inlineStr">
        <is>
          <t>已存在</t>
        </is>
      </c>
      <c r="L80" s="9" t="inlineStr">
        <is>
          <t>keelung/市區小型自辦重劃.html</t>
        </is>
      </c>
    </row>
    <row r="81">
      <c r="A81" s="5" t="n">
        <v>80</v>
      </c>
      <c r="B81" s="5" t="inlineStr">
        <is>
          <t>基隆市</t>
        </is>
      </c>
      <c r="C81" s="5" t="inlineStr">
        <is>
          <t>keelung</t>
        </is>
      </c>
      <c r="D81" s="5" t="inlineStr">
        <is>
          <t>北部地區</t>
        </is>
      </c>
      <c r="E81" s="5" t="inlineStr">
        <is>
          <t>都市更新</t>
        </is>
      </c>
      <c r="F81" s="5" t="inlineStr">
        <is>
          <t>urban-renewal.html</t>
        </is>
      </c>
      <c r="G81" s="5" t="inlineStr">
        <is>
          <t>基隆港周邊都更</t>
        </is>
      </c>
      <c r="H81" s="5" t="inlineStr">
        <is>
          <t>researched</t>
        </is>
      </c>
      <c r="I81" s="5">
        <f>COUNTIFS(建案總表_642案!$E$2:$E$643,$G81)</f>
        <v/>
      </c>
      <c r="J81" s="5" t="inlineStr">
        <is>
          <t>keelung/基隆港周邊都更.html</t>
        </is>
      </c>
      <c r="K81" s="5" t="inlineStr">
        <is>
          <t>已存在</t>
        </is>
      </c>
      <c r="L81" s="9" t="inlineStr">
        <is>
          <t>keelung/基隆港周邊都更.html</t>
        </is>
      </c>
    </row>
    <row r="82">
      <c r="A82" s="5" t="n">
        <v>81</v>
      </c>
      <c r="B82" s="5" t="inlineStr">
        <is>
          <t>新竹市</t>
        </is>
      </c>
      <c r="C82" s="5" t="inlineStr">
        <is>
          <t>hsinchu-city</t>
        </is>
      </c>
      <c r="D82" s="5" t="inlineStr">
        <is>
          <t>北部地區</t>
        </is>
      </c>
      <c r="E82" s="5" t="inlineStr">
        <is>
          <t>公辦市地重劃</t>
        </is>
      </c>
      <c r="F82" s="5" t="inlineStr">
        <is>
          <t>public-urban-land-readjustment.html</t>
        </is>
      </c>
      <c r="G82" s="5" t="inlineStr">
        <is>
          <t>市區小型公辦案</t>
        </is>
      </c>
      <c r="H82" s="5" t="inlineStr">
        <is>
          <t>no_named_zone</t>
        </is>
      </c>
      <c r="I82" s="5">
        <f>COUNTIFS(建案總表_642案!$E$2:$E$643,$G82)</f>
        <v/>
      </c>
      <c r="J82" s="5" t="inlineStr">
        <is>
          <t>hsinchu-city/市區小型公辦案.html</t>
        </is>
      </c>
      <c r="K82" s="5" t="inlineStr">
        <is>
          <t>已存在</t>
        </is>
      </c>
      <c r="L82" s="9" t="inlineStr">
        <is>
          <t>hsinchu-city/市區小型公辦案.html</t>
        </is>
      </c>
    </row>
    <row r="83">
      <c r="A83" s="5" t="n">
        <v>82</v>
      </c>
      <c r="B83" s="5" t="inlineStr">
        <is>
          <t>新竹市</t>
        </is>
      </c>
      <c r="C83" s="5" t="inlineStr">
        <is>
          <t>hsinchu-city</t>
        </is>
      </c>
      <c r="D83" s="5" t="inlineStr">
        <is>
          <t>北部地區</t>
        </is>
      </c>
      <c r="E83" s="5" t="inlineStr">
        <is>
          <t>自辦市地重劃</t>
        </is>
      </c>
      <c r="F83" s="5" t="inlineStr">
        <is>
          <t>private-urban-land-readjustment.html</t>
        </is>
      </c>
      <c r="G83" s="5" t="inlineStr">
        <is>
          <t>市區多處自辦重劃</t>
        </is>
      </c>
      <c r="H83" s="5" t="inlineStr">
        <is>
          <t>researched</t>
        </is>
      </c>
      <c r="I83" s="5">
        <f>COUNTIFS(建案總表_642案!$E$2:$E$643,$G83)</f>
        <v/>
      </c>
      <c r="J83" s="5" t="inlineStr">
        <is>
          <t>hsinchu-city/市區多處自辦重劃.html</t>
        </is>
      </c>
      <c r="K83" s="5" t="inlineStr">
        <is>
          <t>已存在</t>
        </is>
      </c>
      <c r="L83" s="9" t="inlineStr">
        <is>
          <t>hsinchu-city/市區多處自辦重劃.html</t>
        </is>
      </c>
    </row>
    <row r="84">
      <c r="A84" s="5" t="n">
        <v>83</v>
      </c>
      <c r="B84" s="5" t="inlineStr">
        <is>
          <t>新竹市</t>
        </is>
      </c>
      <c r="C84" s="5" t="inlineStr">
        <is>
          <t>hsinchu-city</t>
        </is>
      </c>
      <c r="D84" s="5" t="inlineStr">
        <is>
          <t>北部地區</t>
        </is>
      </c>
      <c r="E84" s="5" t="inlineStr">
        <is>
          <t>自辦市地重劃</t>
        </is>
      </c>
      <c r="F84" s="5" t="inlineStr">
        <is>
          <t>private-urban-land-readjustment.html</t>
        </is>
      </c>
      <c r="G84" s="5" t="inlineStr">
        <is>
          <t>金山街自辦重劃</t>
        </is>
      </c>
      <c r="H84" s="5" t="inlineStr">
        <is>
          <t>researched</t>
        </is>
      </c>
      <c r="I84" s="5">
        <f>COUNTIFS(建案總表_642案!$E$2:$E$643,$G84)</f>
        <v/>
      </c>
      <c r="J84" s="5" t="inlineStr">
        <is>
          <t>hsinchu-city/金山街自辦重劃.html</t>
        </is>
      </c>
      <c r="K84" s="5" t="inlineStr">
        <is>
          <t>已存在</t>
        </is>
      </c>
      <c r="L84" s="9" t="inlineStr">
        <is>
          <t>hsinchu-city/金山街自辦重劃.html</t>
        </is>
      </c>
    </row>
    <row r="85">
      <c r="A85" s="5" t="n">
        <v>84</v>
      </c>
      <c r="B85" s="5" t="inlineStr">
        <is>
          <t>新竹市</t>
        </is>
      </c>
      <c r="C85" s="5" t="inlineStr">
        <is>
          <t>hsinchu-city</t>
        </is>
      </c>
      <c r="D85" s="5" t="inlineStr">
        <is>
          <t>北部地區</t>
        </is>
      </c>
      <c r="E85" s="5" t="inlineStr">
        <is>
          <t>都市更新</t>
        </is>
      </c>
      <c r="F85" s="5" t="inlineStr">
        <is>
          <t>urban-renewal.html</t>
        </is>
      </c>
      <c r="G85" s="5" t="inlineStr">
        <is>
          <t>舊市區都更</t>
        </is>
      </c>
      <c r="H85" s="5" t="inlineStr">
        <is>
          <t>no_data</t>
        </is>
      </c>
      <c r="I85" s="5">
        <f>COUNTIFS(建案總表_642案!$E$2:$E$643,$G85)</f>
        <v/>
      </c>
      <c r="J85" s="5" t="inlineStr">
        <is>
          <t>hsinchu-city/舊市區都更.html</t>
        </is>
      </c>
      <c r="K85" s="5" t="inlineStr">
        <is>
          <t>已存在</t>
        </is>
      </c>
      <c r="L85" s="9" t="inlineStr">
        <is>
          <t>hsinchu-city/舊市區都更.html</t>
        </is>
      </c>
    </row>
    <row r="86">
      <c r="A86" s="5" t="n">
        <v>85</v>
      </c>
      <c r="B86" s="5" t="inlineStr">
        <is>
          <t>新竹縣</t>
        </is>
      </c>
      <c r="C86" s="5" t="inlineStr">
        <is>
          <t>hsinchu-county</t>
        </is>
      </c>
      <c r="D86" s="5" t="inlineStr">
        <is>
          <t>北部地區</t>
        </is>
      </c>
      <c r="E86" s="5" t="inlineStr">
        <is>
          <t>公辦市地重劃</t>
        </is>
      </c>
      <c r="F86" s="5" t="inlineStr">
        <is>
          <t>public-urban-land-readjustment.html</t>
        </is>
      </c>
      <c r="G86" s="5" t="inlineStr">
        <is>
          <t>竹北多期公辦重劃</t>
        </is>
      </c>
      <c r="H86" s="5" t="inlineStr">
        <is>
          <t>researched</t>
        </is>
      </c>
      <c r="I86" s="5">
        <f>COUNTIFS(建案總表_642案!$E$2:$E$643,$G86)</f>
        <v/>
      </c>
      <c r="J86" s="5" t="inlineStr">
        <is>
          <t>hsinchu-county/竹北多期公辦重劃.html</t>
        </is>
      </c>
      <c r="K86" s="5" t="inlineStr">
        <is>
          <t>已存在</t>
        </is>
      </c>
      <c r="L86" s="9" t="inlineStr">
        <is>
          <t>hsinchu-county/竹北多期公辦重劃.html</t>
        </is>
      </c>
    </row>
    <row r="87">
      <c r="A87" s="5" t="n">
        <v>86</v>
      </c>
      <c r="B87" s="5" t="inlineStr">
        <is>
          <t>新竹縣</t>
        </is>
      </c>
      <c r="C87" s="5" t="inlineStr">
        <is>
          <t>hsinchu-county</t>
        </is>
      </c>
      <c r="D87" s="5" t="inlineStr">
        <is>
          <t>北部地區</t>
        </is>
      </c>
      <c r="E87" s="5" t="inlineStr">
        <is>
          <t>公辦市地重劃</t>
        </is>
      </c>
      <c r="F87" s="5" t="inlineStr">
        <is>
          <t>public-urban-land-readjustment.html</t>
        </is>
      </c>
      <c r="G87" s="5" t="inlineStr">
        <is>
          <t>湖口公辦重劃</t>
        </is>
      </c>
      <c r="H87" s="5" t="inlineStr">
        <is>
          <t>researched</t>
        </is>
      </c>
      <c r="I87" s="5">
        <f>COUNTIFS(建案總表_642案!$E$2:$E$643,$G87)</f>
        <v/>
      </c>
      <c r="J87" s="5" t="inlineStr">
        <is>
          <t>hsinchu-county/湖口公辦重劃.html</t>
        </is>
      </c>
      <c r="K87" s="5" t="inlineStr">
        <is>
          <t>已存在</t>
        </is>
      </c>
      <c r="L87" s="9" t="inlineStr">
        <is>
          <t>hsinchu-county/湖口公辦重劃.html</t>
        </is>
      </c>
    </row>
    <row r="88">
      <c r="A88" s="5" t="n">
        <v>87</v>
      </c>
      <c r="B88" s="5" t="inlineStr">
        <is>
          <t>新竹縣</t>
        </is>
      </c>
      <c r="C88" s="5" t="inlineStr">
        <is>
          <t>hsinchu-county</t>
        </is>
      </c>
      <c r="D88" s="5" t="inlineStr">
        <is>
          <t>北部地區</t>
        </is>
      </c>
      <c r="E88" s="5" t="inlineStr">
        <is>
          <t>公辦市地重劃</t>
        </is>
      </c>
      <c r="F88" s="5" t="inlineStr">
        <is>
          <t>public-urban-land-readjustment.html</t>
        </is>
      </c>
      <c r="G88" s="5" t="inlineStr">
        <is>
          <t>其他鄉鎮公辦案</t>
        </is>
      </c>
      <c r="H88" s="5" t="inlineStr">
        <is>
          <t>no_named_zone</t>
        </is>
      </c>
      <c r="I88" s="5">
        <f>COUNTIFS(建案總表_642案!$E$2:$E$643,$G88)</f>
        <v/>
      </c>
      <c r="J88" s="5" t="inlineStr">
        <is>
          <t>hsinchu-county/其他鄉鎮公辦案.html</t>
        </is>
      </c>
      <c r="K88" s="5" t="inlineStr">
        <is>
          <t>已存在</t>
        </is>
      </c>
      <c r="L88" s="9" t="inlineStr">
        <is>
          <t>hsinchu-county/其他鄉鎮公辦案.html</t>
        </is>
      </c>
    </row>
    <row r="89">
      <c r="A89" s="5" t="n">
        <v>88</v>
      </c>
      <c r="B89" s="5" t="inlineStr">
        <is>
          <t>新竹縣</t>
        </is>
      </c>
      <c r="C89" s="5" t="inlineStr">
        <is>
          <t>hsinchu-county</t>
        </is>
      </c>
      <c r="D89" s="5" t="inlineStr">
        <is>
          <t>北部地區</t>
        </is>
      </c>
      <c r="E89" s="5" t="inlineStr">
        <is>
          <t>自辦市地重劃</t>
        </is>
      </c>
      <c r="F89" s="5" t="inlineStr">
        <is>
          <t>private-urban-land-readjustment.html</t>
        </is>
      </c>
      <c r="G89" s="5" t="inlineStr">
        <is>
          <t>鄉鎮零星自辦案</t>
        </is>
      </c>
      <c r="H89" s="5" t="inlineStr">
        <is>
          <t>no_named_zone</t>
        </is>
      </c>
      <c r="I89" s="5">
        <f>COUNTIFS(建案總表_642案!$E$2:$E$643,$G89)</f>
        <v/>
      </c>
      <c r="J89" s="5" t="inlineStr">
        <is>
          <t>hsinchu-county/鄉鎮零星自辦案.html</t>
        </is>
      </c>
      <c r="K89" s="5" t="inlineStr">
        <is>
          <t>已存在</t>
        </is>
      </c>
      <c r="L89" s="9" t="inlineStr">
        <is>
          <t>hsinchu-county/鄉鎮零星自辦案.html</t>
        </is>
      </c>
    </row>
    <row r="90">
      <c r="A90" s="5" t="n">
        <v>89</v>
      </c>
      <c r="B90" s="5" t="inlineStr">
        <is>
          <t>新竹縣</t>
        </is>
      </c>
      <c r="C90" s="5" t="inlineStr">
        <is>
          <t>hsinchu-county</t>
        </is>
      </c>
      <c r="D90" s="5" t="inlineStr">
        <is>
          <t>北部地區</t>
        </is>
      </c>
      <c r="E90" s="5" t="inlineStr">
        <is>
          <t>區段徵收</t>
        </is>
      </c>
      <c r="F90" s="5" t="inlineStr">
        <is>
          <t>zone-expropriation.html</t>
        </is>
      </c>
      <c r="G90" s="5" t="inlineStr">
        <is>
          <t>竹北高鐵特區</t>
        </is>
      </c>
      <c r="H90" s="5" t="inlineStr">
        <is>
          <t>researched</t>
        </is>
      </c>
      <c r="I90" s="5">
        <f>COUNTIFS(建案總表_642案!$E$2:$E$643,$G90)</f>
        <v/>
      </c>
      <c r="J90" s="5" t="inlineStr">
        <is>
          <t>hsinchu-county/竹北高鐵特區.html</t>
        </is>
      </c>
      <c r="K90" s="5" t="inlineStr">
        <is>
          <t>已存在</t>
        </is>
      </c>
      <c r="L90" s="9" t="inlineStr">
        <is>
          <t>hsinchu-county/竹北高鐵特區.html</t>
        </is>
      </c>
    </row>
    <row r="91">
      <c r="A91" s="5" t="n">
        <v>90</v>
      </c>
      <c r="B91" s="5" t="inlineStr">
        <is>
          <t>新竹縣</t>
        </is>
      </c>
      <c r="C91" s="5" t="inlineStr">
        <is>
          <t>hsinchu-county</t>
        </is>
      </c>
      <c r="D91" s="5" t="inlineStr">
        <is>
          <t>北部地區</t>
        </is>
      </c>
      <c r="E91" s="5" t="inlineStr">
        <is>
          <t>都市更新</t>
        </is>
      </c>
      <c r="F91" s="5" t="inlineStr">
        <is>
          <t>urban-renewal.html</t>
        </is>
      </c>
      <c r="G91" s="5" t="inlineStr">
        <is>
          <t>舊市區零星都更</t>
        </is>
      </c>
      <c r="H91" s="5" t="inlineStr">
        <is>
          <t>no_data</t>
        </is>
      </c>
      <c r="I91" s="5">
        <f>COUNTIFS(建案總表_642案!$E$2:$E$643,$G91)</f>
        <v/>
      </c>
      <c r="J91" s="5" t="inlineStr">
        <is>
          <t>hsinchu-county/舊市區零星都更.html</t>
        </is>
      </c>
      <c r="K91" s="5" t="inlineStr">
        <is>
          <t>已存在</t>
        </is>
      </c>
      <c r="L91" s="9" t="inlineStr">
        <is>
          <t>hsinchu-county/舊市區零星都更.html</t>
        </is>
      </c>
    </row>
    <row r="92">
      <c r="A92" s="5" t="n">
        <v>91</v>
      </c>
      <c r="B92" s="5" t="inlineStr">
        <is>
          <t>苗栗縣</t>
        </is>
      </c>
      <c r="C92" s="5" t="inlineStr">
        <is>
          <t>miaoli</t>
        </is>
      </c>
      <c r="D92" s="5" t="inlineStr">
        <is>
          <t>北部地區</t>
        </is>
      </c>
      <c r="E92" s="5" t="inlineStr">
        <is>
          <t>公辦市地重劃</t>
        </is>
      </c>
      <c r="F92" s="5" t="inlineStr">
        <is>
          <t>public-urban-land-readjustment.html</t>
        </is>
      </c>
      <c r="G92" s="5" t="inlineStr">
        <is>
          <t>竹南公辦重劃</t>
        </is>
      </c>
      <c r="H92" s="5" t="inlineStr">
        <is>
          <t>researched</t>
        </is>
      </c>
      <c r="I92" s="5">
        <f>COUNTIFS(建案總表_642案!$E$2:$E$643,$G92)</f>
        <v/>
      </c>
      <c r="J92" s="5" t="inlineStr">
        <is>
          <t>miaoli/竹南公辦重劃.html</t>
        </is>
      </c>
      <c r="K92" s="5" t="inlineStr">
        <is>
          <t>已存在</t>
        </is>
      </c>
      <c r="L92" s="9" t="inlineStr">
        <is>
          <t>miaoli/竹南公辦重劃.html</t>
        </is>
      </c>
    </row>
    <row r="93">
      <c r="A93" s="5" t="n">
        <v>92</v>
      </c>
      <c r="B93" s="5" t="inlineStr">
        <is>
          <t>苗栗縣</t>
        </is>
      </c>
      <c r="C93" s="5" t="inlineStr">
        <is>
          <t>miaoli</t>
        </is>
      </c>
      <c r="D93" s="5" t="inlineStr">
        <is>
          <t>北部地區</t>
        </is>
      </c>
      <c r="E93" s="5" t="inlineStr">
        <is>
          <t>公辦市地重劃</t>
        </is>
      </c>
      <c r="F93" s="5" t="inlineStr">
        <is>
          <t>public-urban-land-readjustment.html</t>
        </is>
      </c>
      <c r="G93" s="5" t="inlineStr">
        <is>
          <t>頭份公辦重劃</t>
        </is>
      </c>
      <c r="H93" s="5" t="inlineStr">
        <is>
          <t>researched</t>
        </is>
      </c>
      <c r="I93" s="5">
        <f>COUNTIFS(建案總表_642案!$E$2:$E$643,$G93)</f>
        <v/>
      </c>
      <c r="J93" s="5" t="inlineStr">
        <is>
          <t>miaoli/頭份公辦重劃.html</t>
        </is>
      </c>
      <c r="K93" s="5" t="inlineStr">
        <is>
          <t>已存在</t>
        </is>
      </c>
      <c r="L93" s="9" t="inlineStr">
        <is>
          <t>miaoli/頭份公辦重劃.html</t>
        </is>
      </c>
    </row>
    <row r="94">
      <c r="A94" s="5" t="n">
        <v>93</v>
      </c>
      <c r="B94" s="5" t="inlineStr">
        <is>
          <t>苗栗縣</t>
        </is>
      </c>
      <c r="C94" s="5" t="inlineStr">
        <is>
          <t>miaoli</t>
        </is>
      </c>
      <c r="D94" s="5" t="inlineStr">
        <is>
          <t>北部地區</t>
        </is>
      </c>
      <c r="E94" s="5" t="inlineStr">
        <is>
          <t>自辦市地重劃</t>
        </is>
      </c>
      <c r="F94" s="5" t="inlineStr">
        <is>
          <t>private-urban-land-readjustment.html</t>
        </is>
      </c>
      <c r="G94" s="5" t="inlineStr">
        <is>
          <t>苗栗市自辦重劃</t>
        </is>
      </c>
      <c r="H94" s="5" t="inlineStr">
        <is>
          <t>researched</t>
        </is>
      </c>
      <c r="I94" s="5">
        <f>COUNTIFS(建案總表_642案!$E$2:$E$643,$G94)</f>
        <v/>
      </c>
      <c r="J94" s="5" t="inlineStr">
        <is>
          <t>miaoli/苗栗市自辦重劃.html</t>
        </is>
      </c>
      <c r="K94" s="5" t="inlineStr">
        <is>
          <t>已存在</t>
        </is>
      </c>
      <c r="L94" s="9" t="inlineStr">
        <is>
          <t>miaoli/苗栗市自辦重劃.html</t>
        </is>
      </c>
    </row>
    <row r="95">
      <c r="A95" s="5" t="n">
        <v>94</v>
      </c>
      <c r="B95" s="5" t="inlineStr">
        <is>
          <t>苗栗縣</t>
        </is>
      </c>
      <c r="C95" s="5" t="inlineStr">
        <is>
          <t>miaoli</t>
        </is>
      </c>
      <c r="D95" s="5" t="inlineStr">
        <is>
          <t>北部地區</t>
        </is>
      </c>
      <c r="E95" s="5" t="inlineStr">
        <is>
          <t>自辦市地重劃</t>
        </is>
      </c>
      <c r="F95" s="5" t="inlineStr">
        <is>
          <t>private-urban-land-readjustment.html</t>
        </is>
      </c>
      <c r="G95" s="5" t="inlineStr">
        <is>
          <t>其他鄉鎮自辦案</t>
        </is>
      </c>
      <c r="H95" s="5" t="inlineStr">
        <is>
          <t>researched</t>
        </is>
      </c>
      <c r="I95" s="5">
        <f>COUNTIFS(建案總表_642案!$E$2:$E$643,$G95)</f>
        <v/>
      </c>
      <c r="J95" s="5" t="inlineStr">
        <is>
          <t>miaoli/其他鄉鎮自辦案.html</t>
        </is>
      </c>
      <c r="K95" s="5" t="inlineStr">
        <is>
          <t>已存在</t>
        </is>
      </c>
      <c r="L95" s="9" t="inlineStr">
        <is>
          <t>miaoli/其他鄉鎮自辦案.html</t>
        </is>
      </c>
    </row>
    <row r="96">
      <c r="A96" s="5" t="n">
        <v>95</v>
      </c>
      <c r="B96" s="5" t="inlineStr">
        <is>
          <t>苗栗縣</t>
        </is>
      </c>
      <c r="C96" s="5" t="inlineStr">
        <is>
          <t>miaoli</t>
        </is>
      </c>
      <c r="D96" s="5" t="inlineStr">
        <is>
          <t>北部地區</t>
        </is>
      </c>
      <c r="E96" s="5" t="inlineStr">
        <is>
          <t>都市更新</t>
        </is>
      </c>
      <c r="F96" s="5" t="inlineStr">
        <is>
          <t>urban-renewal.html</t>
        </is>
      </c>
      <c r="G96" s="5" t="inlineStr">
        <is>
          <t>舊市區零星都更</t>
        </is>
      </c>
      <c r="H96" s="5" t="inlineStr">
        <is>
          <t>no_data</t>
        </is>
      </c>
      <c r="I96" s="5">
        <f>COUNTIFS(建案總表_642案!$E$2:$E$643,$G96)</f>
        <v/>
      </c>
      <c r="J96" s="5" t="inlineStr">
        <is>
          <t>miaoli/舊市區零星都更.html</t>
        </is>
      </c>
      <c r="K96" s="5" t="inlineStr">
        <is>
          <t>已存在</t>
        </is>
      </c>
      <c r="L96" s="9" t="inlineStr">
        <is>
          <t>miaoli/舊市區零星都更.html</t>
        </is>
      </c>
    </row>
    <row r="97">
      <c r="A97" s="5" t="n">
        <v>96</v>
      </c>
      <c r="B97" s="5" t="inlineStr">
        <is>
          <t>宜蘭縣</t>
        </is>
      </c>
      <c r="C97" s="5" t="inlineStr">
        <is>
          <t>yilan</t>
        </is>
      </c>
      <c r="D97" s="5" t="inlineStr">
        <is>
          <t>北部地區</t>
        </is>
      </c>
      <c r="E97" s="5" t="inlineStr">
        <is>
          <t>公辦市地重劃</t>
        </is>
      </c>
      <c r="F97" s="5" t="inlineStr">
        <is>
          <t>public-urban-land-readjustment.html</t>
        </is>
      </c>
      <c r="G97" s="5" t="inlineStr">
        <is>
          <t>羅東公辦重劃</t>
        </is>
      </c>
      <c r="H97" s="5" t="inlineStr">
        <is>
          <t>researched</t>
        </is>
      </c>
      <c r="I97" s="5">
        <f>COUNTIFS(建案總表_642案!$E$2:$E$643,$G97)</f>
        <v/>
      </c>
      <c r="J97" s="5" t="inlineStr">
        <is>
          <t>yilan/羅東公辦重劃.html</t>
        </is>
      </c>
      <c r="K97" s="5" t="inlineStr">
        <is>
          <t>已存在</t>
        </is>
      </c>
      <c r="L97" s="9" t="inlineStr">
        <is>
          <t>yilan/羅東公辦重劃.html</t>
        </is>
      </c>
    </row>
    <row r="98">
      <c r="A98" s="5" t="n">
        <v>97</v>
      </c>
      <c r="B98" s="5" t="inlineStr">
        <is>
          <t>宜蘭縣</t>
        </is>
      </c>
      <c r="C98" s="5" t="inlineStr">
        <is>
          <t>yilan</t>
        </is>
      </c>
      <c r="D98" s="5" t="inlineStr">
        <is>
          <t>北部地區</t>
        </is>
      </c>
      <c r="E98" s="5" t="inlineStr">
        <is>
          <t>自辦市地重劃</t>
        </is>
      </c>
      <c r="F98" s="5" t="inlineStr">
        <is>
          <t>private-urban-land-readjustment.html</t>
        </is>
      </c>
      <c r="G98" s="5" t="inlineStr">
        <is>
          <t>宜蘭市小型自辦重劃</t>
        </is>
      </c>
      <c r="H98" s="5" t="inlineStr">
        <is>
          <t>researched</t>
        </is>
      </c>
      <c r="I98" s="5">
        <f>COUNTIFS(建案總表_642案!$E$2:$E$643,$G98)</f>
        <v/>
      </c>
      <c r="J98" s="5" t="inlineStr">
        <is>
          <t>yilan/宜蘭市小型自辦重劃.html</t>
        </is>
      </c>
      <c r="K98" s="5" t="inlineStr">
        <is>
          <t>已存在</t>
        </is>
      </c>
      <c r="L98" s="9" t="inlineStr">
        <is>
          <t>yilan/宜蘭市小型自辦重劃.html</t>
        </is>
      </c>
    </row>
    <row r="99">
      <c r="A99" s="5" t="n">
        <v>98</v>
      </c>
      <c r="B99" s="5" t="inlineStr">
        <is>
          <t>宜蘭縣</t>
        </is>
      </c>
      <c r="C99" s="5" t="inlineStr">
        <is>
          <t>yilan</t>
        </is>
      </c>
      <c r="D99" s="5" t="inlineStr">
        <is>
          <t>北部地區</t>
        </is>
      </c>
      <c r="E99" s="5" t="inlineStr">
        <is>
          <t>區段徵收</t>
        </is>
      </c>
      <c r="F99" s="5" t="inlineStr">
        <is>
          <t>zone-expropriation.html</t>
        </is>
      </c>
      <c r="G99" s="5" t="inlineStr">
        <is>
          <t>羅東特定區段徵收</t>
        </is>
      </c>
      <c r="H99" s="5" t="inlineStr">
        <is>
          <t>researched</t>
        </is>
      </c>
      <c r="I99" s="5">
        <f>COUNTIFS(建案總表_642案!$E$2:$E$643,$G99)</f>
        <v/>
      </c>
      <c r="J99" s="5" t="inlineStr">
        <is>
          <t>yilan/羅東特定區段徵收.html</t>
        </is>
      </c>
      <c r="K99" s="5" t="inlineStr">
        <is>
          <t>已存在</t>
        </is>
      </c>
      <c r="L99" s="9" t="inlineStr">
        <is>
          <t>yilan/羅東特定區段徵收.html</t>
        </is>
      </c>
    </row>
    <row r="100">
      <c r="A100" s="5" t="n">
        <v>99</v>
      </c>
      <c r="B100" s="5" t="inlineStr">
        <is>
          <t>宜蘭縣</t>
        </is>
      </c>
      <c r="C100" s="5" t="inlineStr">
        <is>
          <t>yilan</t>
        </is>
      </c>
      <c r="D100" s="5" t="inlineStr">
        <is>
          <t>北部地區</t>
        </is>
      </c>
      <c r="E100" s="5" t="inlineStr">
        <is>
          <t>都市更新</t>
        </is>
      </c>
      <c r="F100" s="5" t="inlineStr">
        <is>
          <t>urban-renewal.html</t>
        </is>
      </c>
      <c r="G100" s="5" t="inlineStr">
        <is>
          <t>舊市區零星都更</t>
        </is>
      </c>
      <c r="H100" s="5" t="inlineStr">
        <is>
          <t>no_data</t>
        </is>
      </c>
      <c r="I100" s="5">
        <f>COUNTIFS(建案總表_642案!$E$2:$E$643,$G100)</f>
        <v/>
      </c>
      <c r="J100" s="5" t="inlineStr">
        <is>
          <t>yilan/舊市區零星都更.html</t>
        </is>
      </c>
      <c r="K100" s="5" t="inlineStr">
        <is>
          <t>已存在</t>
        </is>
      </c>
      <c r="L100" s="9" t="inlineStr">
        <is>
          <t>yilan/舊市區零星都更.html</t>
        </is>
      </c>
    </row>
    <row r="101">
      <c r="A101" s="5" t="n">
        <v>100</v>
      </c>
      <c r="B101" s="5" t="inlineStr">
        <is>
          <t>彰化縣</t>
        </is>
      </c>
      <c r="C101" s="5" t="inlineStr">
        <is>
          <t>changhua</t>
        </is>
      </c>
      <c r="D101" s="5" t="inlineStr">
        <is>
          <t>中部地區</t>
        </is>
      </c>
      <c r="E101" s="5" t="inlineStr">
        <is>
          <t>公辦市地重劃</t>
        </is>
      </c>
      <c r="F101" s="5" t="inlineStr">
        <is>
          <t>public-urban-land-readjustment.html</t>
        </is>
      </c>
      <c r="G101" s="5" t="inlineStr">
        <is>
          <t>彰化市公辦重劃</t>
        </is>
      </c>
      <c r="H101" s="5" t="inlineStr">
        <is>
          <t>researched</t>
        </is>
      </c>
      <c r="I101" s="5">
        <f>COUNTIFS(建案總表_642案!$E$2:$E$643,$G101)</f>
        <v/>
      </c>
      <c r="J101" s="5" t="inlineStr">
        <is>
          <t>changhua/彰化市公辦重劃.html</t>
        </is>
      </c>
      <c r="K101" s="5" t="inlineStr">
        <is>
          <t>已存在</t>
        </is>
      </c>
      <c r="L101" s="9" t="inlineStr">
        <is>
          <t>changhua/彰化市公辦重劃.html</t>
        </is>
      </c>
    </row>
    <row r="102">
      <c r="A102" s="5" t="n">
        <v>101</v>
      </c>
      <c r="B102" s="5" t="inlineStr">
        <is>
          <t>彰化縣</t>
        </is>
      </c>
      <c r="C102" s="5" t="inlineStr">
        <is>
          <t>changhua</t>
        </is>
      </c>
      <c r="D102" s="5" t="inlineStr">
        <is>
          <t>中部地區</t>
        </is>
      </c>
      <c r="E102" s="5" t="inlineStr">
        <is>
          <t>公辦市地重劃</t>
        </is>
      </c>
      <c r="F102" s="5" t="inlineStr">
        <is>
          <t>public-urban-land-readjustment.html</t>
        </is>
      </c>
      <c r="G102" s="5" t="inlineStr">
        <is>
          <t>員林公辦重劃</t>
        </is>
      </c>
      <c r="H102" s="5" t="inlineStr">
        <is>
          <t>researched</t>
        </is>
      </c>
      <c r="I102" s="5">
        <f>COUNTIFS(建案總表_642案!$E$2:$E$643,$G102)</f>
        <v/>
      </c>
      <c r="J102" s="5" t="inlineStr">
        <is>
          <t>changhua/員林公辦重劃.html</t>
        </is>
      </c>
      <c r="K102" s="5" t="inlineStr">
        <is>
          <t>已存在</t>
        </is>
      </c>
      <c r="L102" s="9" t="inlineStr">
        <is>
          <t>changhua/員林公辦重劃.html</t>
        </is>
      </c>
    </row>
    <row r="103">
      <c r="A103" s="5" t="n">
        <v>102</v>
      </c>
      <c r="B103" s="5" t="inlineStr">
        <is>
          <t>彰化縣</t>
        </is>
      </c>
      <c r="C103" s="5" t="inlineStr">
        <is>
          <t>changhua</t>
        </is>
      </c>
      <c r="D103" s="5" t="inlineStr">
        <is>
          <t>中部地區</t>
        </is>
      </c>
      <c r="E103" s="5" t="inlineStr">
        <is>
          <t>自辦市地重劃</t>
        </is>
      </c>
      <c r="F103" s="5" t="inlineStr">
        <is>
          <t>private-urban-land-readjustment.html</t>
        </is>
      </c>
      <c r="G103" s="5" t="inlineStr">
        <is>
          <t>鹿港自辦重劃</t>
        </is>
      </c>
      <c r="H103" s="5" t="inlineStr">
        <is>
          <t>researched</t>
        </is>
      </c>
      <c r="I103" s="5">
        <f>COUNTIFS(建案總表_642案!$E$2:$E$643,$G103)</f>
        <v/>
      </c>
      <c r="J103" s="5" t="inlineStr">
        <is>
          <t>changhua/鹿港自辦重劃.html</t>
        </is>
      </c>
      <c r="K103" s="5" t="inlineStr">
        <is>
          <t>已存在</t>
        </is>
      </c>
      <c r="L103" s="9" t="inlineStr">
        <is>
          <t>changhua/鹿港自辦重劃.html</t>
        </is>
      </c>
    </row>
    <row r="104">
      <c r="A104" s="5" t="n">
        <v>103</v>
      </c>
      <c r="B104" s="5" t="inlineStr">
        <is>
          <t>彰化縣</t>
        </is>
      </c>
      <c r="C104" s="5" t="inlineStr">
        <is>
          <t>changhua</t>
        </is>
      </c>
      <c r="D104" s="5" t="inlineStr">
        <is>
          <t>中部地區</t>
        </is>
      </c>
      <c r="E104" s="5" t="inlineStr">
        <is>
          <t>自辦市地重劃</t>
        </is>
      </c>
      <c r="F104" s="5" t="inlineStr">
        <is>
          <t>private-urban-land-readjustment.html</t>
        </is>
      </c>
      <c r="G104" s="5" t="inlineStr">
        <is>
          <t>和美自辦重劃</t>
        </is>
      </c>
      <c r="H104" s="5" t="inlineStr">
        <is>
          <t>researched</t>
        </is>
      </c>
      <c r="I104" s="5">
        <f>COUNTIFS(建案總表_642案!$E$2:$E$643,$G104)</f>
        <v/>
      </c>
      <c r="J104" s="5" t="inlineStr">
        <is>
          <t>changhua/和美自辦重劃.html</t>
        </is>
      </c>
      <c r="K104" s="5" t="inlineStr">
        <is>
          <t>已存在</t>
        </is>
      </c>
      <c r="L104" s="9" t="inlineStr">
        <is>
          <t>changhua/和美自辦重劃.html</t>
        </is>
      </c>
    </row>
    <row r="105">
      <c r="A105" s="5" t="n">
        <v>104</v>
      </c>
      <c r="B105" s="5" t="inlineStr">
        <is>
          <t>彰化縣</t>
        </is>
      </c>
      <c r="C105" s="5" t="inlineStr">
        <is>
          <t>changhua</t>
        </is>
      </c>
      <c r="D105" s="5" t="inlineStr">
        <is>
          <t>中部地區</t>
        </is>
      </c>
      <c r="E105" s="5" t="inlineStr">
        <is>
          <t>自辦市地重劃</t>
        </is>
      </c>
      <c r="F105" s="5" t="inlineStr">
        <is>
          <t>private-urban-land-readjustment.html</t>
        </is>
      </c>
      <c r="G105" s="5" t="inlineStr">
        <is>
          <t>其他鄉鎮大量自辦案</t>
        </is>
      </c>
      <c r="H105" s="5" t="inlineStr">
        <is>
          <t>researched</t>
        </is>
      </c>
      <c r="I105" s="5">
        <f>COUNTIFS(建案總表_642案!$E$2:$E$643,$G105)</f>
        <v/>
      </c>
      <c r="J105" s="5" t="inlineStr">
        <is>
          <t>changhua/其他鄉鎮大量自辦案.html</t>
        </is>
      </c>
      <c r="K105" s="5" t="inlineStr">
        <is>
          <t>已存在</t>
        </is>
      </c>
      <c r="L105" s="9" t="inlineStr">
        <is>
          <t>changhua/其他鄉鎮大量自辦案.html</t>
        </is>
      </c>
    </row>
    <row r="106">
      <c r="A106" s="5" t="n">
        <v>105</v>
      </c>
      <c r="B106" s="5" t="inlineStr">
        <is>
          <t>彰化縣</t>
        </is>
      </c>
      <c r="C106" s="5" t="inlineStr">
        <is>
          <t>changhua</t>
        </is>
      </c>
      <c r="D106" s="5" t="inlineStr">
        <is>
          <t>中部地區</t>
        </is>
      </c>
      <c r="E106" s="5" t="inlineStr">
        <is>
          <t>自辦市地重劃</t>
        </is>
      </c>
      <c r="F106" s="5" t="inlineStr">
        <is>
          <t>private-urban-land-readjustment.html</t>
        </is>
      </c>
      <c r="G106" s="5" t="inlineStr">
        <is>
          <t>（全台自辦重劃密度最高）</t>
        </is>
      </c>
      <c r="H106" s="5" t="inlineStr">
        <is>
          <t>no_named_zone</t>
        </is>
      </c>
      <c r="I106" s="5">
        <f>COUNTIFS(建案總表_642案!$E$2:$E$643,$G106)</f>
        <v/>
      </c>
      <c r="J106" s="5" t="inlineStr">
        <is>
          <t>changhua/（全台自辦重劃密度最高）.html</t>
        </is>
      </c>
      <c r="K106" s="5" t="inlineStr">
        <is>
          <t>已存在</t>
        </is>
      </c>
      <c r="L106" s="9" t="inlineStr">
        <is>
          <t>changhua/（全台自辦重劃密度最高）.html</t>
        </is>
      </c>
    </row>
    <row r="107">
      <c r="A107" s="5" t="n">
        <v>106</v>
      </c>
      <c r="B107" s="5" t="inlineStr">
        <is>
          <t>彰化縣</t>
        </is>
      </c>
      <c r="C107" s="5" t="inlineStr">
        <is>
          <t>changhua</t>
        </is>
      </c>
      <c r="D107" s="5" t="inlineStr">
        <is>
          <t>中部地區</t>
        </is>
      </c>
      <c r="E107" s="5" t="inlineStr">
        <is>
          <t>都市更新</t>
        </is>
      </c>
      <c r="F107" s="5" t="inlineStr">
        <is>
          <t>urban-renewal.html</t>
        </is>
      </c>
      <c r="G107" s="5" t="inlineStr">
        <is>
          <t>舊市區零星都更</t>
        </is>
      </c>
      <c r="H107" s="5" t="inlineStr">
        <is>
          <t>researched</t>
        </is>
      </c>
      <c r="I107" s="5">
        <f>COUNTIFS(建案總表_642案!$E$2:$E$643,$G107)</f>
        <v/>
      </c>
      <c r="J107" s="5" t="inlineStr">
        <is>
          <t>changhua/舊市區零星都更.html</t>
        </is>
      </c>
      <c r="K107" s="5" t="inlineStr">
        <is>
          <t>已存在</t>
        </is>
      </c>
      <c r="L107" s="9" t="inlineStr">
        <is>
          <t>changhua/舊市區零星都更.html</t>
        </is>
      </c>
    </row>
    <row r="108">
      <c r="A108" s="5" t="n">
        <v>107</v>
      </c>
      <c r="B108" s="5" t="inlineStr">
        <is>
          <t>南投縣</t>
        </is>
      </c>
      <c r="C108" s="5" t="inlineStr">
        <is>
          <t>nantou</t>
        </is>
      </c>
      <c r="D108" s="5" t="inlineStr">
        <is>
          <t>中部地區</t>
        </is>
      </c>
      <c r="E108" s="5" t="inlineStr">
        <is>
          <t>公辦市地重劃</t>
        </is>
      </c>
      <c r="F108" s="5" t="inlineStr">
        <is>
          <t>public-urban-land-readjustment.html</t>
        </is>
      </c>
      <c r="G108" s="5" t="inlineStr">
        <is>
          <t>縣治小型公辦案</t>
        </is>
      </c>
      <c r="H108" s="5" t="inlineStr">
        <is>
          <t>researched</t>
        </is>
      </c>
      <c r="I108" s="5">
        <f>COUNTIFS(建案總表_642案!$E$2:$E$643,$G108)</f>
        <v/>
      </c>
      <c r="J108" s="5" t="inlineStr">
        <is>
          <t>nantou/縣治小型公辦案.html</t>
        </is>
      </c>
      <c r="K108" s="5" t="inlineStr">
        <is>
          <t>已存在</t>
        </is>
      </c>
      <c r="L108" s="9" t="inlineStr">
        <is>
          <t>nantou/縣治小型公辦案.html</t>
        </is>
      </c>
    </row>
    <row r="109">
      <c r="A109" s="5" t="n">
        <v>108</v>
      </c>
      <c r="B109" s="5" t="inlineStr">
        <is>
          <t>南投縣</t>
        </is>
      </c>
      <c r="C109" s="5" t="inlineStr">
        <is>
          <t>nantou</t>
        </is>
      </c>
      <c r="D109" s="5" t="inlineStr">
        <is>
          <t>中部地區</t>
        </is>
      </c>
      <c r="E109" s="5" t="inlineStr">
        <is>
          <t>自辦市地重劃</t>
        </is>
      </c>
      <c r="F109" s="5" t="inlineStr">
        <is>
          <t>private-urban-land-readjustment.html</t>
        </is>
      </c>
      <c r="G109" s="5" t="inlineStr">
        <is>
          <t>埔里自辦重劃</t>
        </is>
      </c>
      <c r="H109" s="5" t="inlineStr">
        <is>
          <t>researched</t>
        </is>
      </c>
      <c r="I109" s="5">
        <f>COUNTIFS(建案總表_642案!$E$2:$E$643,$G109)</f>
        <v/>
      </c>
      <c r="J109" s="5" t="inlineStr">
        <is>
          <t>nantou/埔里自辦重劃.html</t>
        </is>
      </c>
      <c r="K109" s="5" t="inlineStr">
        <is>
          <t>已存在</t>
        </is>
      </c>
      <c r="L109" s="9" t="inlineStr">
        <is>
          <t>nantou/埔里自辦重劃.html</t>
        </is>
      </c>
    </row>
    <row r="110">
      <c r="A110" s="5" t="n">
        <v>109</v>
      </c>
      <c r="B110" s="5" t="inlineStr">
        <is>
          <t>南投縣</t>
        </is>
      </c>
      <c r="C110" s="5" t="inlineStr">
        <is>
          <t>nantou</t>
        </is>
      </c>
      <c r="D110" s="5" t="inlineStr">
        <is>
          <t>中部地區</t>
        </is>
      </c>
      <c r="E110" s="5" t="inlineStr">
        <is>
          <t>自辦市地重劃</t>
        </is>
      </c>
      <c r="F110" s="5" t="inlineStr">
        <is>
          <t>private-urban-land-readjustment.html</t>
        </is>
      </c>
      <c r="G110" s="5" t="inlineStr">
        <is>
          <t>草屯自辦重劃</t>
        </is>
      </c>
      <c r="H110" s="5" t="inlineStr">
        <is>
          <t>researched</t>
        </is>
      </c>
      <c r="I110" s="5">
        <f>COUNTIFS(建案總表_642案!$E$2:$E$643,$G110)</f>
        <v/>
      </c>
      <c r="J110" s="5" t="inlineStr">
        <is>
          <t>nantou/草屯自辦重劃.html</t>
        </is>
      </c>
      <c r="K110" s="5" t="inlineStr">
        <is>
          <t>已存在</t>
        </is>
      </c>
      <c r="L110" s="9" t="inlineStr">
        <is>
          <t>nantou/草屯自辦重劃.html</t>
        </is>
      </c>
    </row>
    <row r="111">
      <c r="A111" s="5" t="n">
        <v>110</v>
      </c>
      <c r="B111" s="5" t="inlineStr">
        <is>
          <t>南投縣</t>
        </is>
      </c>
      <c r="C111" s="5" t="inlineStr">
        <is>
          <t>nantou</t>
        </is>
      </c>
      <c r="D111" s="5" t="inlineStr">
        <is>
          <t>中部地區</t>
        </is>
      </c>
      <c r="E111" s="5" t="inlineStr">
        <is>
          <t>自辦市地重劃</t>
        </is>
      </c>
      <c r="F111" s="5" t="inlineStr">
        <is>
          <t>private-urban-land-readjustment.html</t>
        </is>
      </c>
      <c r="G111" s="5" t="inlineStr">
        <is>
          <t>竹山自辦重劃</t>
        </is>
      </c>
      <c r="H111" s="5" t="inlineStr">
        <is>
          <t>researched</t>
        </is>
      </c>
      <c r="I111" s="5">
        <f>COUNTIFS(建案總表_642案!$E$2:$E$643,$G111)</f>
        <v/>
      </c>
      <c r="J111" s="5" t="inlineStr">
        <is>
          <t>nantou/竹山自辦重劃.html</t>
        </is>
      </c>
      <c r="K111" s="5" t="inlineStr">
        <is>
          <t>已存在</t>
        </is>
      </c>
      <c r="L111" s="9" t="inlineStr">
        <is>
          <t>nantou/竹山自辦重劃.html</t>
        </is>
      </c>
    </row>
    <row r="112">
      <c r="A112" s="5" t="n">
        <v>111</v>
      </c>
      <c r="B112" s="5" t="inlineStr">
        <is>
          <t>南投縣</t>
        </is>
      </c>
      <c r="C112" s="5" t="inlineStr">
        <is>
          <t>nantou</t>
        </is>
      </c>
      <c r="D112" s="5" t="inlineStr">
        <is>
          <t>中部地區</t>
        </is>
      </c>
      <c r="E112" s="5" t="inlineStr">
        <is>
          <t>都市更新</t>
        </is>
      </c>
      <c r="F112" s="5" t="inlineStr">
        <is>
          <t>urban-renewal.html</t>
        </is>
      </c>
      <c r="G112" s="5" t="inlineStr">
        <is>
          <t>舊市區零星都更</t>
        </is>
      </c>
      <c r="H112" s="5" t="inlineStr">
        <is>
          <t>no_named_zone</t>
        </is>
      </c>
      <c r="I112" s="5">
        <f>COUNTIFS(建案總表_642案!$E$2:$E$643,$G112)</f>
        <v/>
      </c>
      <c r="J112" s="5" t="inlineStr">
        <is>
          <t>nantou/舊市區零星都更.html</t>
        </is>
      </c>
      <c r="K112" s="5" t="inlineStr">
        <is>
          <t>已存在</t>
        </is>
      </c>
      <c r="L112" s="9" t="inlineStr">
        <is>
          <t>nantou/舊市區零星都更.html</t>
        </is>
      </c>
    </row>
    <row r="113">
      <c r="A113" s="5" t="n">
        <v>112</v>
      </c>
      <c r="B113" s="5" t="inlineStr">
        <is>
          <t>雲林縣</t>
        </is>
      </c>
      <c r="C113" s="5" t="inlineStr">
        <is>
          <t>yunlin</t>
        </is>
      </c>
      <c r="D113" s="5" t="inlineStr">
        <is>
          <t>中部地區</t>
        </is>
      </c>
      <c r="E113" s="5" t="inlineStr">
        <is>
          <t>公辦市地重劃</t>
        </is>
      </c>
      <c r="F113" s="5" t="inlineStr">
        <is>
          <t>public-urban-land-readjustment.html</t>
        </is>
      </c>
      <c r="G113" s="5" t="inlineStr">
        <is>
          <t>縣治小型公辦案</t>
        </is>
      </c>
      <c r="H113" s="5" t="inlineStr">
        <is>
          <t>researched</t>
        </is>
      </c>
      <c r="I113" s="5">
        <f>COUNTIFS(建案總表_642案!$E$2:$E$643,$G113)</f>
        <v/>
      </c>
      <c r="J113" s="5" t="inlineStr">
        <is>
          <t>yunlin/縣治小型公辦案.html</t>
        </is>
      </c>
      <c r="K113" s="5" t="inlineStr">
        <is>
          <t>已存在</t>
        </is>
      </c>
      <c r="L113" s="9" t="inlineStr">
        <is>
          <t>yunlin/縣治小型公辦案.html</t>
        </is>
      </c>
    </row>
    <row r="114">
      <c r="A114" s="5" t="n">
        <v>113</v>
      </c>
      <c r="B114" s="5" t="inlineStr">
        <is>
          <t>雲林縣</t>
        </is>
      </c>
      <c r="C114" s="5" t="inlineStr">
        <is>
          <t>yunlin</t>
        </is>
      </c>
      <c r="D114" s="5" t="inlineStr">
        <is>
          <t>中部地區</t>
        </is>
      </c>
      <c r="E114" s="5" t="inlineStr">
        <is>
          <t>自辦市地重劃</t>
        </is>
      </c>
      <c r="F114" s="5" t="inlineStr">
        <is>
          <t>private-urban-land-readjustment.html</t>
        </is>
      </c>
      <c r="G114" s="5" t="inlineStr">
        <is>
          <t>斗六自辦重劃</t>
        </is>
      </c>
      <c r="H114" s="5" t="inlineStr">
        <is>
          <t>researched</t>
        </is>
      </c>
      <c r="I114" s="5">
        <f>COUNTIFS(建案總表_642案!$E$2:$E$643,$G114)</f>
        <v/>
      </c>
      <c r="J114" s="5" t="inlineStr">
        <is>
          <t>yunlin/斗六自辦重劃.html</t>
        </is>
      </c>
      <c r="K114" s="5" t="inlineStr">
        <is>
          <t>已存在</t>
        </is>
      </c>
      <c r="L114" s="9" t="inlineStr">
        <is>
          <t>yunlin/斗六自辦重劃.html</t>
        </is>
      </c>
    </row>
    <row r="115">
      <c r="A115" s="5" t="n">
        <v>114</v>
      </c>
      <c r="B115" s="5" t="inlineStr">
        <is>
          <t>雲林縣</t>
        </is>
      </c>
      <c r="C115" s="5" t="inlineStr">
        <is>
          <t>yunlin</t>
        </is>
      </c>
      <c r="D115" s="5" t="inlineStr">
        <is>
          <t>中部地區</t>
        </is>
      </c>
      <c r="E115" s="5" t="inlineStr">
        <is>
          <t>自辦市地重劃</t>
        </is>
      </c>
      <c r="F115" s="5" t="inlineStr">
        <is>
          <t>private-urban-land-readjustment.html</t>
        </is>
      </c>
      <c r="G115" s="5" t="inlineStr">
        <is>
          <t>虎尾自辦重劃</t>
        </is>
      </c>
      <c r="H115" s="5" t="inlineStr">
        <is>
          <t>researched</t>
        </is>
      </c>
      <c r="I115" s="5">
        <f>COUNTIFS(建案總表_642案!$E$2:$E$643,$G115)</f>
        <v/>
      </c>
      <c r="J115" s="5" t="inlineStr">
        <is>
          <t>yunlin/虎尾自辦重劃.html</t>
        </is>
      </c>
      <c r="K115" s="5" t="inlineStr">
        <is>
          <t>已存在</t>
        </is>
      </c>
      <c r="L115" s="9" t="inlineStr">
        <is>
          <t>yunlin/虎尾自辦重劃.html</t>
        </is>
      </c>
    </row>
    <row r="116">
      <c r="A116" s="5" t="n">
        <v>115</v>
      </c>
      <c r="B116" s="5" t="inlineStr">
        <is>
          <t>雲林縣</t>
        </is>
      </c>
      <c r="C116" s="5" t="inlineStr">
        <is>
          <t>yunlin</t>
        </is>
      </c>
      <c r="D116" s="5" t="inlineStr">
        <is>
          <t>中部地區</t>
        </is>
      </c>
      <c r="E116" s="5" t="inlineStr">
        <is>
          <t>自辦市地重劃</t>
        </is>
      </c>
      <c r="F116" s="5" t="inlineStr">
        <is>
          <t>private-urban-land-readjustment.html</t>
        </is>
      </c>
      <c r="G116" s="5" t="inlineStr">
        <is>
          <t>北港自辦重劃</t>
        </is>
      </c>
      <c r="H116" s="5" t="inlineStr">
        <is>
          <t>researched</t>
        </is>
      </c>
      <c r="I116" s="5">
        <f>COUNTIFS(建案總表_642案!$E$2:$E$643,$G116)</f>
        <v/>
      </c>
      <c r="J116" s="5" t="inlineStr">
        <is>
          <t>yunlin/北港自辦重劃.html</t>
        </is>
      </c>
      <c r="K116" s="5" t="inlineStr">
        <is>
          <t>已存在</t>
        </is>
      </c>
      <c r="L116" s="9" t="inlineStr">
        <is>
          <t>yunlin/北港自辦重劃.html</t>
        </is>
      </c>
    </row>
    <row r="117">
      <c r="A117" s="5" t="n">
        <v>116</v>
      </c>
      <c r="B117" s="5" t="inlineStr">
        <is>
          <t>雲林縣</t>
        </is>
      </c>
      <c r="C117" s="5" t="inlineStr">
        <is>
          <t>yunlin</t>
        </is>
      </c>
      <c r="D117" s="5" t="inlineStr">
        <is>
          <t>中部地區</t>
        </is>
      </c>
      <c r="E117" s="5" t="inlineStr">
        <is>
          <t>自辦市地重劃</t>
        </is>
      </c>
      <c r="F117" s="5" t="inlineStr">
        <is>
          <t>private-urban-land-readjustment.html</t>
        </is>
      </c>
      <c r="G117" s="5" t="inlineStr">
        <is>
          <t>其他鄉鎮自辦案</t>
        </is>
      </c>
      <c r="H117" s="5" t="inlineStr">
        <is>
          <t>researched</t>
        </is>
      </c>
      <c r="I117" s="5">
        <f>COUNTIFS(建案總表_642案!$E$2:$E$643,$G117)</f>
        <v/>
      </c>
      <c r="J117" s="5" t="inlineStr">
        <is>
          <t>yunlin/其他鄉鎮自辦案.html</t>
        </is>
      </c>
      <c r="K117" s="5" t="inlineStr">
        <is>
          <t>已存在</t>
        </is>
      </c>
      <c r="L117" s="9" t="inlineStr">
        <is>
          <t>yunlin/其他鄉鎮自辦案.html</t>
        </is>
      </c>
    </row>
    <row r="118">
      <c r="A118" s="5" t="n">
        <v>117</v>
      </c>
      <c r="B118" s="5" t="inlineStr">
        <is>
          <t>雲林縣</t>
        </is>
      </c>
      <c r="C118" s="5" t="inlineStr">
        <is>
          <t>yunlin</t>
        </is>
      </c>
      <c r="D118" s="5" t="inlineStr">
        <is>
          <t>中部地區</t>
        </is>
      </c>
      <c r="E118" s="5" t="inlineStr">
        <is>
          <t>都市更新</t>
        </is>
      </c>
      <c r="F118" s="5" t="inlineStr">
        <is>
          <t>urban-renewal.html</t>
        </is>
      </c>
      <c r="G118" s="5" t="inlineStr">
        <is>
          <t>舊市區零星都更</t>
        </is>
      </c>
      <c r="H118" s="5" t="inlineStr">
        <is>
          <t>no_named_zone</t>
        </is>
      </c>
      <c r="I118" s="5">
        <f>COUNTIFS(建案總表_642案!$E$2:$E$643,$G118)</f>
        <v/>
      </c>
      <c r="J118" s="5" t="inlineStr">
        <is>
          <t>yunlin/舊市區零星都更.html</t>
        </is>
      </c>
      <c r="K118" s="5" t="inlineStr">
        <is>
          <t>已存在</t>
        </is>
      </c>
      <c r="L118" s="9" t="inlineStr">
        <is>
          <t>yunlin/舊市區零星都更.html</t>
        </is>
      </c>
    </row>
    <row r="119">
      <c r="A119" s="5" t="n">
        <v>118</v>
      </c>
      <c r="B119" s="5" t="inlineStr">
        <is>
          <t>嘉義市</t>
        </is>
      </c>
      <c r="C119" s="5" t="inlineStr">
        <is>
          <t>chiayi-city</t>
        </is>
      </c>
      <c r="D119" s="5" t="inlineStr">
        <is>
          <t>中部地區</t>
        </is>
      </c>
      <c r="E119" s="5" t="inlineStr">
        <is>
          <t>公辦市地重劃</t>
        </is>
      </c>
      <c r="F119" s="5" t="inlineStr">
        <is>
          <t>public-urban-land-readjustment.html</t>
        </is>
      </c>
      <c r="G119" s="5" t="inlineStr">
        <is>
          <t>市區小型公辦案</t>
        </is>
      </c>
      <c r="H119" s="5" t="inlineStr">
        <is>
          <t>researched</t>
        </is>
      </c>
      <c r="I119" s="5">
        <f>COUNTIFS(建案總表_642案!$E$2:$E$643,$G119)</f>
        <v/>
      </c>
      <c r="J119" s="5" t="inlineStr">
        <is>
          <t>chiayi-city/市區小型公辦案.html</t>
        </is>
      </c>
      <c r="K119" s="5" t="inlineStr">
        <is>
          <t>已存在</t>
        </is>
      </c>
      <c r="L119" s="9" t="inlineStr">
        <is>
          <t>chiayi-city/市區小型公辦案.html</t>
        </is>
      </c>
    </row>
    <row r="120">
      <c r="A120" s="5" t="n">
        <v>119</v>
      </c>
      <c r="B120" s="5" t="inlineStr">
        <is>
          <t>嘉義市</t>
        </is>
      </c>
      <c r="C120" s="5" t="inlineStr">
        <is>
          <t>chiayi-city</t>
        </is>
      </c>
      <c r="D120" s="5" t="inlineStr">
        <is>
          <t>中部地區</t>
        </is>
      </c>
      <c r="E120" s="5" t="inlineStr">
        <is>
          <t>自辦市地重劃</t>
        </is>
      </c>
      <c r="F120" s="5" t="inlineStr">
        <is>
          <t>private-urban-land-readjustment.html</t>
        </is>
      </c>
      <c r="G120" s="5" t="inlineStr">
        <is>
          <t>市區小型自辦重劃</t>
        </is>
      </c>
      <c r="H120" s="5" t="inlineStr">
        <is>
          <t>researched</t>
        </is>
      </c>
      <c r="I120" s="5">
        <f>COUNTIFS(建案總表_642案!$E$2:$E$643,$G120)</f>
        <v/>
      </c>
      <c r="J120" s="5" t="inlineStr">
        <is>
          <t>chiayi-city/市區小型自辦重劃.html</t>
        </is>
      </c>
      <c r="K120" s="5" t="inlineStr">
        <is>
          <t>已存在</t>
        </is>
      </c>
      <c r="L120" s="9" t="inlineStr">
        <is>
          <t>chiayi-city/市區小型自辦重劃.html</t>
        </is>
      </c>
    </row>
    <row r="121">
      <c r="A121" s="5" t="n">
        <v>120</v>
      </c>
      <c r="B121" s="5" t="inlineStr">
        <is>
          <t>嘉義市</t>
        </is>
      </c>
      <c r="C121" s="5" t="inlineStr">
        <is>
          <t>chiayi-city</t>
        </is>
      </c>
      <c r="D121" s="5" t="inlineStr">
        <is>
          <t>中部地區</t>
        </is>
      </c>
      <c r="E121" s="5" t="inlineStr">
        <is>
          <t>都市更新</t>
        </is>
      </c>
      <c r="F121" s="5" t="inlineStr">
        <is>
          <t>urban-renewal.html</t>
        </is>
      </c>
      <c r="G121" s="5" t="inlineStr">
        <is>
          <t>舊市區都更</t>
        </is>
      </c>
      <c r="H121" s="5" t="inlineStr">
        <is>
          <t>researched</t>
        </is>
      </c>
      <c r="I121" s="5">
        <f>COUNTIFS(建案總表_642案!$E$2:$E$643,$G121)</f>
        <v/>
      </c>
      <c r="J121" s="5" t="inlineStr">
        <is>
          <t>chiayi-city/舊市區都更.html</t>
        </is>
      </c>
      <c r="K121" s="5" t="inlineStr">
        <is>
          <t>已存在</t>
        </is>
      </c>
      <c r="L121" s="9" t="inlineStr">
        <is>
          <t>chiayi-city/舊市區都更.html</t>
        </is>
      </c>
    </row>
    <row r="122">
      <c r="A122" s="5" t="n">
        <v>121</v>
      </c>
      <c r="B122" s="5" t="inlineStr">
        <is>
          <t>嘉義縣</t>
        </is>
      </c>
      <c r="C122" s="5" t="inlineStr">
        <is>
          <t>chiayi-county</t>
        </is>
      </c>
      <c r="D122" s="5" t="inlineStr">
        <is>
          <t>中部地區</t>
        </is>
      </c>
      <c r="E122" s="5" t="inlineStr">
        <is>
          <t>公辦市地重劃</t>
        </is>
      </c>
      <c r="F122" s="5" t="inlineStr">
        <is>
          <t>public-urban-land-readjustment.html</t>
        </is>
      </c>
      <c r="G122" s="5" t="inlineStr">
        <is>
          <t>太保公辦重劃</t>
        </is>
      </c>
      <c r="H122" s="5" t="inlineStr">
        <is>
          <t>researched</t>
        </is>
      </c>
      <c r="I122" s="5">
        <f>COUNTIFS(建案總表_642案!$E$2:$E$643,$G122)</f>
        <v/>
      </c>
      <c r="J122" s="5" t="inlineStr">
        <is>
          <t>chiayi-county/太保公辦重劃.html</t>
        </is>
      </c>
      <c r="K122" s="5" t="inlineStr">
        <is>
          <t>已存在</t>
        </is>
      </c>
      <c r="L122" s="9" t="inlineStr">
        <is>
          <t>chiayi-county/太保公辦重劃.html</t>
        </is>
      </c>
    </row>
    <row r="123">
      <c r="A123" s="5" t="n">
        <v>122</v>
      </c>
      <c r="B123" s="5" t="inlineStr">
        <is>
          <t>嘉義縣</t>
        </is>
      </c>
      <c r="C123" s="5" t="inlineStr">
        <is>
          <t>chiayi-county</t>
        </is>
      </c>
      <c r="D123" s="5" t="inlineStr">
        <is>
          <t>中部地區</t>
        </is>
      </c>
      <c r="E123" s="5" t="inlineStr">
        <is>
          <t>公辦市地重劃</t>
        </is>
      </c>
      <c r="F123" s="5" t="inlineStr">
        <is>
          <t>public-urban-land-readjustment.html</t>
        </is>
      </c>
      <c r="G123" s="5" t="inlineStr">
        <is>
          <t>朴子公辦重劃</t>
        </is>
      </c>
      <c r="H123" s="5" t="inlineStr">
        <is>
          <t>no_named_zone</t>
        </is>
      </c>
      <c r="I123" s="5">
        <f>COUNTIFS(建案總表_642案!$E$2:$E$643,$G123)</f>
        <v/>
      </c>
      <c r="J123" s="5" t="inlineStr">
        <is>
          <t>chiayi-county/朴子公辦重劃.html</t>
        </is>
      </c>
      <c r="K123" s="5" t="inlineStr">
        <is>
          <t>已存在</t>
        </is>
      </c>
      <c r="L123" s="9" t="inlineStr">
        <is>
          <t>chiayi-county/朴子公辦重劃.html</t>
        </is>
      </c>
    </row>
    <row r="124">
      <c r="A124" s="5" t="n">
        <v>123</v>
      </c>
      <c r="B124" s="5" t="inlineStr">
        <is>
          <t>嘉義縣</t>
        </is>
      </c>
      <c r="C124" s="5" t="inlineStr">
        <is>
          <t>chiayi-county</t>
        </is>
      </c>
      <c r="D124" s="5" t="inlineStr">
        <is>
          <t>中部地區</t>
        </is>
      </c>
      <c r="E124" s="5" t="inlineStr">
        <is>
          <t>自辦市地重劃</t>
        </is>
      </c>
      <c r="F124" s="5" t="inlineStr">
        <is>
          <t>private-urban-land-readjustment.html</t>
        </is>
      </c>
      <c r="G124" s="5" t="inlineStr">
        <is>
          <t>鄉鎮零星自辦案</t>
        </is>
      </c>
      <c r="H124" s="5" t="inlineStr">
        <is>
          <t>no_named_zone</t>
        </is>
      </c>
      <c r="I124" s="5">
        <f>COUNTIFS(建案總表_642案!$E$2:$E$643,$G124)</f>
        <v/>
      </c>
      <c r="J124" s="5" t="inlineStr">
        <is>
          <t>chiayi-county/鄉鎮零星自辦案.html</t>
        </is>
      </c>
      <c r="K124" s="5" t="inlineStr">
        <is>
          <t>已存在</t>
        </is>
      </c>
      <c r="L124" s="9" t="inlineStr">
        <is>
          <t>chiayi-county/鄉鎮零星自辦案.html</t>
        </is>
      </c>
    </row>
    <row r="125">
      <c r="A125" s="5" t="n">
        <v>124</v>
      </c>
      <c r="B125" s="5" t="inlineStr">
        <is>
          <t>嘉義縣</t>
        </is>
      </c>
      <c r="C125" s="5" t="inlineStr">
        <is>
          <t>chiayi-county</t>
        </is>
      </c>
      <c r="D125" s="5" t="inlineStr">
        <is>
          <t>中部地區</t>
        </is>
      </c>
      <c r="E125" s="5" t="inlineStr">
        <is>
          <t>都市更新</t>
        </is>
      </c>
      <c r="F125" s="5" t="inlineStr">
        <is>
          <t>urban-renewal.html</t>
        </is>
      </c>
      <c r="G125" s="5" t="inlineStr">
        <is>
          <t>舊市區零星都更</t>
        </is>
      </c>
      <c r="H125" s="5" t="inlineStr">
        <is>
          <t>no_named_zone</t>
        </is>
      </c>
      <c r="I125" s="5">
        <f>COUNTIFS(建案總表_642案!$E$2:$E$643,$G125)</f>
        <v/>
      </c>
      <c r="J125" s="5" t="inlineStr">
        <is>
          <t>chiayi-county/舊市區零星都更.html</t>
        </is>
      </c>
      <c r="K125" s="5" t="inlineStr">
        <is>
          <t>已存在</t>
        </is>
      </c>
      <c r="L125" s="9" t="inlineStr">
        <is>
          <t>chiayi-county/舊市區零星都更.html</t>
        </is>
      </c>
    </row>
    <row r="126">
      <c r="A126" s="5" t="n">
        <v>125</v>
      </c>
      <c r="B126" s="5" t="inlineStr">
        <is>
          <t>屏東縣</t>
        </is>
      </c>
      <c r="C126" s="5" t="inlineStr">
        <is>
          <t>pingtung</t>
        </is>
      </c>
      <c r="D126" s="5" t="inlineStr">
        <is>
          <t>南部地區</t>
        </is>
      </c>
      <c r="E126" s="5" t="inlineStr">
        <is>
          <t>公辦市地重劃</t>
        </is>
      </c>
      <c r="F126" s="5" t="inlineStr">
        <is>
          <t>public-urban-land-readjustment.html</t>
        </is>
      </c>
      <c r="G126" s="5" t="inlineStr">
        <is>
          <t>屏東市公辦重劃</t>
        </is>
      </c>
      <c r="H126" s="5" t="inlineStr">
        <is>
          <t>researched</t>
        </is>
      </c>
      <c r="I126" s="5">
        <f>COUNTIFS(建案總表_642案!$E$2:$E$643,$G126)</f>
        <v/>
      </c>
      <c r="J126" s="5" t="inlineStr">
        <is>
          <t>pingtung/屏東市公辦重劃.html</t>
        </is>
      </c>
      <c r="K126" s="5" t="inlineStr">
        <is>
          <t>已存在</t>
        </is>
      </c>
      <c r="L126" s="9" t="inlineStr">
        <is>
          <t>pingtung/屏東市公辦重劃.html</t>
        </is>
      </c>
    </row>
    <row r="127">
      <c r="A127" s="5" t="n">
        <v>126</v>
      </c>
      <c r="B127" s="5" t="inlineStr">
        <is>
          <t>屏東縣</t>
        </is>
      </c>
      <c r="C127" s="5" t="inlineStr">
        <is>
          <t>pingtung</t>
        </is>
      </c>
      <c r="D127" s="5" t="inlineStr">
        <is>
          <t>南部地區</t>
        </is>
      </c>
      <c r="E127" s="5" t="inlineStr">
        <is>
          <t>自辦市地重劃</t>
        </is>
      </c>
      <c r="F127" s="5" t="inlineStr">
        <is>
          <t>private-urban-land-readjustment.html</t>
        </is>
      </c>
      <c r="G127" s="5" t="inlineStr">
        <is>
          <t>潮州自辦重劃</t>
        </is>
      </c>
      <c r="H127" s="5" t="inlineStr">
        <is>
          <t>researched</t>
        </is>
      </c>
      <c r="I127" s="5">
        <f>COUNTIFS(建案總表_642案!$E$2:$E$643,$G127)</f>
        <v/>
      </c>
      <c r="J127" s="5" t="inlineStr">
        <is>
          <t>pingtung/潮州自辦重劃.html</t>
        </is>
      </c>
      <c r="K127" s="5" t="inlineStr">
        <is>
          <t>已存在</t>
        </is>
      </c>
      <c r="L127" s="9" t="inlineStr">
        <is>
          <t>pingtung/潮州自辦重劃.html</t>
        </is>
      </c>
    </row>
    <row r="128">
      <c r="A128" s="5" t="n">
        <v>127</v>
      </c>
      <c r="B128" s="5" t="inlineStr">
        <is>
          <t>屏東縣</t>
        </is>
      </c>
      <c r="C128" s="5" t="inlineStr">
        <is>
          <t>pingtung</t>
        </is>
      </c>
      <c r="D128" s="5" t="inlineStr">
        <is>
          <t>南部地區</t>
        </is>
      </c>
      <c r="E128" s="5" t="inlineStr">
        <is>
          <t>自辦市地重劃</t>
        </is>
      </c>
      <c r="F128" s="5" t="inlineStr">
        <is>
          <t>private-urban-land-readjustment.html</t>
        </is>
      </c>
      <c r="G128" s="5" t="inlineStr">
        <is>
          <t>內埔自辦重劃</t>
        </is>
      </c>
      <c r="H128" s="5" t="inlineStr">
        <is>
          <t>no_named_zone</t>
        </is>
      </c>
      <c r="I128" s="5">
        <f>COUNTIFS(建案總表_642案!$E$2:$E$643,$G128)</f>
        <v/>
      </c>
      <c r="J128" s="5" t="inlineStr">
        <is>
          <t>pingtung/內埔自辦重劃.html</t>
        </is>
      </c>
      <c r="K128" s="5" t="inlineStr">
        <is>
          <t>已存在</t>
        </is>
      </c>
      <c r="L128" s="9" t="inlineStr">
        <is>
          <t>pingtung/內埔自辦重劃.html</t>
        </is>
      </c>
    </row>
    <row r="129">
      <c r="A129" s="5" t="n">
        <v>128</v>
      </c>
      <c r="B129" s="5" t="inlineStr">
        <is>
          <t>屏東縣</t>
        </is>
      </c>
      <c r="C129" s="5" t="inlineStr">
        <is>
          <t>pingtung</t>
        </is>
      </c>
      <c r="D129" s="5" t="inlineStr">
        <is>
          <t>南部地區</t>
        </is>
      </c>
      <c r="E129" s="5" t="inlineStr">
        <is>
          <t>自辦市地重劃</t>
        </is>
      </c>
      <c r="F129" s="5" t="inlineStr">
        <is>
          <t>private-urban-land-readjustment.html</t>
        </is>
      </c>
      <c r="G129" s="5" t="inlineStr">
        <is>
          <t>其他鄉鎮自辦案</t>
        </is>
      </c>
      <c r="H129" s="5" t="inlineStr">
        <is>
          <t>no_named_zone</t>
        </is>
      </c>
      <c r="I129" s="5">
        <f>COUNTIFS(建案總表_642案!$E$2:$E$643,$G129)</f>
        <v/>
      </c>
      <c r="J129" s="5" t="inlineStr">
        <is>
          <t>pingtung/其他鄉鎮自辦案.html</t>
        </is>
      </c>
      <c r="K129" s="5" t="inlineStr">
        <is>
          <t>已存在</t>
        </is>
      </c>
      <c r="L129" s="9" t="inlineStr">
        <is>
          <t>pingtung/其他鄉鎮自辦案.html</t>
        </is>
      </c>
    </row>
    <row r="130">
      <c r="A130" s="5" t="n">
        <v>129</v>
      </c>
      <c r="B130" s="5" t="inlineStr">
        <is>
          <t>屏東縣</t>
        </is>
      </c>
      <c r="C130" s="5" t="inlineStr">
        <is>
          <t>pingtung</t>
        </is>
      </c>
      <c r="D130" s="5" t="inlineStr">
        <is>
          <t>南部地區</t>
        </is>
      </c>
      <c r="E130" s="5" t="inlineStr">
        <is>
          <t>都市更新</t>
        </is>
      </c>
      <c r="F130" s="5" t="inlineStr">
        <is>
          <t>urban-renewal.html</t>
        </is>
      </c>
      <c r="G130" s="5" t="inlineStr">
        <is>
          <t>舊市區零星都更</t>
        </is>
      </c>
      <c r="H130" s="5" t="inlineStr">
        <is>
          <t>no_data</t>
        </is>
      </c>
      <c r="I130" s="5">
        <f>COUNTIFS(建案總表_642案!$E$2:$E$643,$G130)</f>
        <v/>
      </c>
      <c r="J130" s="5" t="inlineStr">
        <is>
          <t>pingtung/舊市區零星都更.html</t>
        </is>
      </c>
      <c r="K130" s="5" t="inlineStr">
        <is>
          <t>已存在</t>
        </is>
      </c>
      <c r="L130" s="9" t="inlineStr">
        <is>
          <t>pingtung/舊市區零星都更.html</t>
        </is>
      </c>
    </row>
    <row r="131">
      <c r="A131" s="5" t="n">
        <v>130</v>
      </c>
      <c r="B131" s="5" t="inlineStr">
        <is>
          <t>花蓮縣</t>
        </is>
      </c>
      <c r="C131" s="5" t="inlineStr">
        <is>
          <t>hualien</t>
        </is>
      </c>
      <c r="D131" s="5" t="inlineStr">
        <is>
          <t>東部地區</t>
        </is>
      </c>
      <c r="E131" s="5" t="inlineStr">
        <is>
          <t>公辦市地重劃</t>
        </is>
      </c>
      <c r="F131" s="5" t="inlineStr">
        <is>
          <t>public-urban-land-readjustment.html</t>
        </is>
      </c>
      <c r="G131" s="5" t="inlineStr">
        <is>
          <t>縣治小型公辦案</t>
        </is>
      </c>
      <c r="H131" s="5" t="inlineStr">
        <is>
          <t>no_data</t>
        </is>
      </c>
      <c r="I131" s="5">
        <f>COUNTIFS(建案總表_642案!$E$2:$E$643,$G131)</f>
        <v/>
      </c>
      <c r="J131" s="5" t="inlineStr">
        <is>
          <t>hualien/縣治小型公辦案.html</t>
        </is>
      </c>
      <c r="K131" s="5" t="inlineStr">
        <is>
          <t>已存在</t>
        </is>
      </c>
      <c r="L131" s="9" t="inlineStr">
        <is>
          <t>hualien/縣治小型公辦案.html</t>
        </is>
      </c>
    </row>
    <row r="132">
      <c r="A132" s="5" t="n">
        <v>131</v>
      </c>
      <c r="B132" s="5" t="inlineStr">
        <is>
          <t>花蓮縣</t>
        </is>
      </c>
      <c r="C132" s="5" t="inlineStr">
        <is>
          <t>hualien</t>
        </is>
      </c>
      <c r="D132" s="5" t="inlineStr">
        <is>
          <t>東部地區</t>
        </is>
      </c>
      <c r="E132" s="5" t="inlineStr">
        <is>
          <t>自辦市地重劃</t>
        </is>
      </c>
      <c r="F132" s="5" t="inlineStr">
        <is>
          <t>private-urban-land-readjustment.html</t>
        </is>
      </c>
      <c r="G132" s="5" t="inlineStr">
        <is>
          <t>縣治零星小型自辦案</t>
        </is>
      </c>
      <c r="H132" s="5" t="inlineStr">
        <is>
          <t>researched</t>
        </is>
      </c>
      <c r="I132" s="5">
        <f>COUNTIFS(建案總表_642案!$E$2:$E$643,$G132)</f>
        <v/>
      </c>
      <c r="J132" s="5" t="inlineStr">
        <is>
          <t>hualien/縣治零星小型自辦案.html</t>
        </is>
      </c>
      <c r="K132" s="5" t="inlineStr">
        <is>
          <t>已存在</t>
        </is>
      </c>
      <c r="L132" s="9" t="inlineStr">
        <is>
          <t>hualien/縣治零星小型自辦案.html</t>
        </is>
      </c>
    </row>
    <row r="133">
      <c r="A133" s="5" t="n">
        <v>132</v>
      </c>
      <c r="B133" s="5" t="inlineStr">
        <is>
          <t>花蓮縣</t>
        </is>
      </c>
      <c r="C133" s="5" t="inlineStr">
        <is>
          <t>hualien</t>
        </is>
      </c>
      <c r="D133" s="5" t="inlineStr">
        <is>
          <t>東部地區</t>
        </is>
      </c>
      <c r="E133" s="5" t="inlineStr">
        <is>
          <t>區段徵收</t>
        </is>
      </c>
      <c r="F133" s="5" t="inlineStr">
        <is>
          <t>zone-expropriation.html</t>
        </is>
      </c>
      <c r="G133" s="5" t="inlineStr">
        <is>
          <t>花蓮市公共建設區段徵收</t>
        </is>
      </c>
      <c r="H133" s="5" t="inlineStr">
        <is>
          <t>no_data</t>
        </is>
      </c>
      <c r="I133" s="5">
        <f>COUNTIFS(建案總表_642案!$E$2:$E$643,$G133)</f>
        <v/>
      </c>
      <c r="J133" s="5" t="inlineStr">
        <is>
          <t>hualien/花蓮市公共建設區段徵收.html</t>
        </is>
      </c>
      <c r="K133" s="5" t="inlineStr">
        <is>
          <t>已存在</t>
        </is>
      </c>
      <c r="L133" s="9" t="inlineStr">
        <is>
          <t>hualien/花蓮市公共建設區段徵收.html</t>
        </is>
      </c>
    </row>
    <row r="134">
      <c r="A134" s="5" t="n">
        <v>133</v>
      </c>
      <c r="B134" s="5" t="inlineStr">
        <is>
          <t>花蓮縣</t>
        </is>
      </c>
      <c r="C134" s="5" t="inlineStr">
        <is>
          <t>hualien</t>
        </is>
      </c>
      <c r="D134" s="5" t="inlineStr">
        <is>
          <t>東部地區</t>
        </is>
      </c>
      <c r="E134" s="5" t="inlineStr">
        <is>
          <t>都市更新</t>
        </is>
      </c>
      <c r="F134" s="5" t="inlineStr">
        <is>
          <t>urban-renewal.html</t>
        </is>
      </c>
      <c r="G134" s="5" t="inlineStr">
        <is>
          <t>舊市區零星都更</t>
        </is>
      </c>
      <c r="H134" s="5" t="inlineStr">
        <is>
          <t>no_data</t>
        </is>
      </c>
      <c r="I134" s="5">
        <f>COUNTIFS(建案總表_642案!$E$2:$E$643,$G134)</f>
        <v/>
      </c>
      <c r="J134" s="5" t="inlineStr">
        <is>
          <t>hualien/舊市區零星都更.html</t>
        </is>
      </c>
      <c r="K134" s="5" t="inlineStr">
        <is>
          <t>已存在</t>
        </is>
      </c>
      <c r="L134" s="9" t="inlineStr">
        <is>
          <t>hualien/舊市區零星都更.html</t>
        </is>
      </c>
    </row>
    <row r="135">
      <c r="A135" s="5" t="n">
        <v>134</v>
      </c>
      <c r="B135" s="5" t="inlineStr">
        <is>
          <t>臺東縣</t>
        </is>
      </c>
      <c r="C135" s="5" t="inlineStr">
        <is>
          <t>taitung</t>
        </is>
      </c>
      <c r="D135" s="5" t="inlineStr">
        <is>
          <t>東部地區</t>
        </is>
      </c>
      <c r="E135" s="5" t="inlineStr">
        <is>
          <t>公辦市地重劃</t>
        </is>
      </c>
      <c r="F135" s="5" t="inlineStr">
        <is>
          <t>public-urban-land-readjustment.html</t>
        </is>
      </c>
      <c r="G135" s="5" t="inlineStr">
        <is>
          <t>縣治小型公辦案</t>
        </is>
      </c>
      <c r="H135" s="5" t="inlineStr">
        <is>
          <t>no_data</t>
        </is>
      </c>
      <c r="I135" s="5">
        <f>COUNTIFS(建案總表_642案!$E$2:$E$643,$G135)</f>
        <v/>
      </c>
      <c r="J135" s="5" t="inlineStr">
        <is>
          <t>taitung/縣治小型公辦案.html</t>
        </is>
      </c>
      <c r="K135" s="5" t="inlineStr">
        <is>
          <t>已存在</t>
        </is>
      </c>
      <c r="L135" s="9" t="inlineStr">
        <is>
          <t>taitung/縣治小型公辦案.html</t>
        </is>
      </c>
    </row>
    <row r="136">
      <c r="A136" s="5" t="n">
        <v>135</v>
      </c>
      <c r="B136" s="5" t="inlineStr">
        <is>
          <t>臺東縣</t>
        </is>
      </c>
      <c r="C136" s="5" t="inlineStr">
        <is>
          <t>taitung</t>
        </is>
      </c>
      <c r="D136" s="5" t="inlineStr">
        <is>
          <t>東部地區</t>
        </is>
      </c>
      <c r="E136" s="5" t="inlineStr">
        <is>
          <t>自辦市地重劃</t>
        </is>
      </c>
      <c r="F136" s="5" t="inlineStr">
        <is>
          <t>private-urban-land-readjustment.html</t>
        </is>
      </c>
      <c r="G136" s="5" t="inlineStr">
        <is>
          <t>縣治零星小型自辦案</t>
        </is>
      </c>
      <c r="H136" s="5" t="inlineStr">
        <is>
          <t>researched</t>
        </is>
      </c>
      <c r="I136" s="5">
        <f>COUNTIFS(建案總表_642案!$E$2:$E$643,$G136)</f>
        <v/>
      </c>
      <c r="J136" s="5" t="inlineStr">
        <is>
          <t>taitung/縣治零星小型自辦案.html</t>
        </is>
      </c>
      <c r="K136" s="5" t="inlineStr">
        <is>
          <t>已存在</t>
        </is>
      </c>
      <c r="L136" s="9" t="inlineStr">
        <is>
          <t>taitung/縣治零星小型自辦案.html</t>
        </is>
      </c>
    </row>
    <row r="137">
      <c r="A137" s="5" t="n">
        <v>136</v>
      </c>
      <c r="B137" s="5" t="inlineStr">
        <is>
          <t>臺東縣</t>
        </is>
      </c>
      <c r="C137" s="5" t="inlineStr">
        <is>
          <t>taitung</t>
        </is>
      </c>
      <c r="D137" s="5" t="inlineStr">
        <is>
          <t>東部地區</t>
        </is>
      </c>
      <c r="E137" s="5" t="inlineStr">
        <is>
          <t>區段徵收</t>
        </is>
      </c>
      <c r="F137" s="5" t="inlineStr">
        <is>
          <t>zone-expropriation.html</t>
        </is>
      </c>
      <c r="G137" s="5" t="inlineStr">
        <is>
          <t>臺東市區區段徵收</t>
        </is>
      </c>
      <c r="H137" s="5" t="inlineStr">
        <is>
          <t>no_data</t>
        </is>
      </c>
      <c r="I137" s="5">
        <f>COUNTIFS(建案總表_642案!$E$2:$E$643,$G137)</f>
        <v/>
      </c>
      <c r="J137" s="5" t="inlineStr">
        <is>
          <t>taitung/臺東市區區段徵收.html</t>
        </is>
      </c>
      <c r="K137" s="5" t="inlineStr">
        <is>
          <t>已存在</t>
        </is>
      </c>
      <c r="L137" s="9" t="inlineStr">
        <is>
          <t>taitung/臺東市區區段徵收.html</t>
        </is>
      </c>
    </row>
    <row r="138">
      <c r="A138" s="5" t="n">
        <v>137</v>
      </c>
      <c r="B138" s="5" t="inlineStr">
        <is>
          <t>臺東縣</t>
        </is>
      </c>
      <c r="C138" s="5" t="inlineStr">
        <is>
          <t>taitung</t>
        </is>
      </c>
      <c r="D138" s="5" t="inlineStr">
        <is>
          <t>東部地區</t>
        </is>
      </c>
      <c r="E138" s="5" t="inlineStr">
        <is>
          <t>都市更新</t>
        </is>
      </c>
      <c r="F138" s="5" t="inlineStr">
        <is>
          <t>urban-renewal.html</t>
        </is>
      </c>
      <c r="G138" s="5" t="inlineStr">
        <is>
          <t>舊市區零星都更</t>
        </is>
      </c>
      <c r="H138" s="5" t="inlineStr">
        <is>
          <t>no_data</t>
        </is>
      </c>
      <c r="I138" s="5">
        <f>COUNTIFS(建案總表_642案!$E$2:$E$643,$G138)</f>
        <v/>
      </c>
      <c r="J138" s="5" t="inlineStr">
        <is>
          <t>taitung/舊市區零星都更.html</t>
        </is>
      </c>
      <c r="K138" s="5" t="inlineStr">
        <is>
          <t>已存在</t>
        </is>
      </c>
      <c r="L138" s="9" t="inlineStr">
        <is>
          <t>taitung/舊市區零星都更.html</t>
        </is>
      </c>
    </row>
    <row r="139">
      <c r="A139" s="5" t="n">
        <v>138</v>
      </c>
      <c r="B139" s="5" t="inlineStr">
        <is>
          <t>澎湖縣</t>
        </is>
      </c>
      <c r="C139" s="5" t="inlineStr">
        <is>
          <t>penghu</t>
        </is>
      </c>
      <c r="D139" s="5" t="inlineStr">
        <is>
          <t>離島地區</t>
        </is>
      </c>
      <c r="E139" s="5" t="inlineStr">
        <is>
          <t>公辦市地重劃</t>
        </is>
      </c>
      <c r="F139" s="5" t="inlineStr">
        <is>
          <t>public-urban-land-readjustment.html</t>
        </is>
      </c>
      <c r="G139" s="5" t="inlineStr">
        <is>
          <t>無大型住宅重劃</t>
        </is>
      </c>
      <c r="H139" s="5" t="inlineStr">
        <is>
          <t>no_data</t>
        </is>
      </c>
      <c r="I139" s="5">
        <f>COUNTIFS(建案總表_642案!$E$2:$E$643,$G139)</f>
        <v/>
      </c>
      <c r="J139" s="5" t="inlineStr">
        <is>
          <t>penghu/無大型住宅重劃.html</t>
        </is>
      </c>
      <c r="K139" s="5" t="inlineStr">
        <is>
          <t>已存在</t>
        </is>
      </c>
      <c r="L139" s="9" t="inlineStr">
        <is>
          <t>penghu/無大型住宅重劃.html</t>
        </is>
      </c>
    </row>
    <row r="140">
      <c r="A140" s="5" t="n">
        <v>139</v>
      </c>
      <c r="B140" s="5" t="inlineStr">
        <is>
          <t>澎湖縣</t>
        </is>
      </c>
      <c r="C140" s="5" t="inlineStr">
        <is>
          <t>penghu</t>
        </is>
      </c>
      <c r="D140" s="5" t="inlineStr">
        <is>
          <t>離島地區</t>
        </is>
      </c>
      <c r="E140" s="5" t="inlineStr">
        <is>
          <t>自辦市地重劃</t>
        </is>
      </c>
      <c r="F140" s="5" t="inlineStr">
        <is>
          <t>private-urban-land-readjustment.html</t>
        </is>
      </c>
      <c r="G140" s="5" t="inlineStr">
        <is>
          <t>幾乎無</t>
        </is>
      </c>
      <c r="H140" s="5" t="inlineStr">
        <is>
          <t>no_data</t>
        </is>
      </c>
      <c r="I140" s="5">
        <f>COUNTIFS(建案總表_642案!$E$2:$E$643,$G140)</f>
        <v/>
      </c>
      <c r="J140" s="5" t="inlineStr">
        <is>
          <t>penghu/幾乎無.html</t>
        </is>
      </c>
      <c r="K140" s="5" t="inlineStr">
        <is>
          <t>已存在</t>
        </is>
      </c>
      <c r="L140" s="9" t="inlineStr">
        <is>
          <t>penghu/幾乎無.html</t>
        </is>
      </c>
    </row>
    <row r="141">
      <c r="A141" s="5" t="n">
        <v>140</v>
      </c>
      <c r="B141" s="5" t="inlineStr">
        <is>
          <t>澎湖縣</t>
        </is>
      </c>
      <c r="C141" s="5" t="inlineStr">
        <is>
          <t>penghu</t>
        </is>
      </c>
      <c r="D141" s="5" t="inlineStr">
        <is>
          <t>離島地區</t>
        </is>
      </c>
      <c r="E141" s="5" t="inlineStr">
        <is>
          <t>區段徵收</t>
        </is>
      </c>
      <c r="F141" s="5" t="inlineStr">
        <is>
          <t>zone-expropriation.html</t>
        </is>
      </c>
      <c r="G141" s="5" t="inlineStr">
        <is>
          <t>僅公共建設類</t>
        </is>
      </c>
      <c r="H141" s="5" t="inlineStr">
        <is>
          <t>no_data</t>
        </is>
      </c>
      <c r="I141" s="5">
        <f>COUNTIFS(建案總表_642案!$E$2:$E$643,$G141)</f>
        <v/>
      </c>
      <c r="J141" s="5" t="inlineStr">
        <is>
          <t>penghu/僅公共建設類.html</t>
        </is>
      </c>
      <c r="K141" s="5" t="inlineStr">
        <is>
          <t>已存在</t>
        </is>
      </c>
      <c r="L141" s="9" t="inlineStr">
        <is>
          <t>penghu/僅公共建設類.html</t>
        </is>
      </c>
    </row>
    <row r="142">
      <c r="A142" s="5" t="n">
        <v>141</v>
      </c>
      <c r="B142" s="5" t="inlineStr">
        <is>
          <t>金門縣</t>
        </is>
      </c>
      <c r="C142" s="5" t="inlineStr">
        <is>
          <t>kinmen</t>
        </is>
      </c>
      <c r="D142" s="5" t="inlineStr">
        <is>
          <t>離島地區</t>
        </is>
      </c>
      <c r="E142" s="5" t="inlineStr">
        <is>
          <t>公辦市地重劃</t>
        </is>
      </c>
      <c r="F142" s="5" t="inlineStr">
        <is>
          <t>public-urban-land-readjustment.html</t>
        </is>
      </c>
      <c r="G142" s="5" t="inlineStr">
        <is>
          <t>無大型住宅重劃</t>
        </is>
      </c>
      <c r="H142" s="5" t="inlineStr">
        <is>
          <t>no_data</t>
        </is>
      </c>
      <c r="I142" s="5">
        <f>COUNTIFS(建案總表_642案!$E$2:$E$643,$G142)</f>
        <v/>
      </c>
      <c r="J142" s="5" t="inlineStr">
        <is>
          <t>kinmen/無大型住宅重劃.html</t>
        </is>
      </c>
      <c r="K142" s="5" t="inlineStr">
        <is>
          <t>已存在</t>
        </is>
      </c>
      <c r="L142" s="9" t="inlineStr">
        <is>
          <t>kinmen/無大型住宅重劃.html</t>
        </is>
      </c>
    </row>
    <row r="143">
      <c r="A143" s="5" t="n">
        <v>142</v>
      </c>
      <c r="B143" s="5" t="inlineStr">
        <is>
          <t>金門縣</t>
        </is>
      </c>
      <c r="C143" s="5" t="inlineStr">
        <is>
          <t>kinmen</t>
        </is>
      </c>
      <c r="D143" s="5" t="inlineStr">
        <is>
          <t>離島地區</t>
        </is>
      </c>
      <c r="E143" s="5" t="inlineStr">
        <is>
          <t>自辦市地重劃</t>
        </is>
      </c>
      <c r="F143" s="5" t="inlineStr">
        <is>
          <t>private-urban-land-readjustment.html</t>
        </is>
      </c>
      <c r="G143" s="5" t="inlineStr">
        <is>
          <t>幾乎無</t>
        </is>
      </c>
      <c r="H143" s="5" t="inlineStr">
        <is>
          <t>no_data</t>
        </is>
      </c>
      <c r="I143" s="5">
        <f>COUNTIFS(建案總表_642案!$E$2:$E$643,$G143)</f>
        <v/>
      </c>
      <c r="J143" s="5" t="inlineStr">
        <is>
          <t>kinmen/幾乎無.html</t>
        </is>
      </c>
      <c r="K143" s="5" t="inlineStr">
        <is>
          <t>已存在</t>
        </is>
      </c>
      <c r="L143" s="9" t="inlineStr">
        <is>
          <t>kinmen/幾乎無.html</t>
        </is>
      </c>
    </row>
    <row r="144">
      <c r="A144" s="5" t="n">
        <v>143</v>
      </c>
      <c r="B144" s="5" t="inlineStr">
        <is>
          <t>金門縣</t>
        </is>
      </c>
      <c r="C144" s="5" t="inlineStr">
        <is>
          <t>kinmen</t>
        </is>
      </c>
      <c r="D144" s="5" t="inlineStr">
        <is>
          <t>離島地區</t>
        </is>
      </c>
      <c r="E144" s="5" t="inlineStr">
        <is>
          <t>區段徵收</t>
        </is>
      </c>
      <c r="F144" s="5" t="inlineStr">
        <is>
          <t>zone-expropriation.html</t>
        </is>
      </c>
      <c r="G144" s="5" t="inlineStr">
        <is>
          <t>僅公共建設類</t>
        </is>
      </c>
      <c r="H144" s="5" t="inlineStr">
        <is>
          <t>no_data</t>
        </is>
      </c>
      <c r="I144" s="5">
        <f>COUNTIFS(建案總表_642案!$E$2:$E$643,$G144)</f>
        <v/>
      </c>
      <c r="J144" s="5" t="inlineStr">
        <is>
          <t>kinmen/僅公共建設類.html</t>
        </is>
      </c>
      <c r="K144" s="5" t="inlineStr">
        <is>
          <t>已存在</t>
        </is>
      </c>
      <c r="L144" s="9" t="inlineStr">
        <is>
          <t>kinmen/僅公共建設類.html</t>
        </is>
      </c>
    </row>
    <row r="145">
      <c r="A145" s="5" t="n">
        <v>144</v>
      </c>
      <c r="B145" s="5" t="inlineStr">
        <is>
          <t>連江縣</t>
        </is>
      </c>
      <c r="C145" s="5" t="inlineStr">
        <is>
          <t>lienchiang</t>
        </is>
      </c>
      <c r="D145" s="5" t="inlineStr">
        <is>
          <t>離島地區</t>
        </is>
      </c>
      <c r="E145" s="5" t="inlineStr">
        <is>
          <t>公辦市地重劃</t>
        </is>
      </c>
      <c r="F145" s="5" t="inlineStr">
        <is>
          <t>public-urban-land-readjustment.html</t>
        </is>
      </c>
      <c r="G145" s="5" t="inlineStr">
        <is>
          <t>無大型住宅重劃</t>
        </is>
      </c>
      <c r="H145" s="5" t="inlineStr">
        <is>
          <t>no_data</t>
        </is>
      </c>
      <c r="I145" s="5">
        <f>COUNTIFS(建案總表_642案!$E$2:$E$643,$G145)</f>
        <v/>
      </c>
      <c r="J145" s="5" t="inlineStr">
        <is>
          <t>lienchiang/無大型住宅重劃.html</t>
        </is>
      </c>
      <c r="K145" s="5" t="inlineStr">
        <is>
          <t>已存在</t>
        </is>
      </c>
      <c r="L145" s="9" t="inlineStr">
        <is>
          <t>lienchiang/無大型住宅重劃.html</t>
        </is>
      </c>
    </row>
    <row r="146">
      <c r="A146" s="5" t="n">
        <v>145</v>
      </c>
      <c r="B146" s="5" t="inlineStr">
        <is>
          <t>連江縣</t>
        </is>
      </c>
      <c r="C146" s="5" t="inlineStr">
        <is>
          <t>lienchiang</t>
        </is>
      </c>
      <c r="D146" s="5" t="inlineStr">
        <is>
          <t>離島地區</t>
        </is>
      </c>
      <c r="E146" s="5" t="inlineStr">
        <is>
          <t>自辦市地重劃</t>
        </is>
      </c>
      <c r="F146" s="5" t="inlineStr">
        <is>
          <t>private-urban-land-readjustment.html</t>
        </is>
      </c>
      <c r="G146" s="5" t="inlineStr">
        <is>
          <t>幾乎無</t>
        </is>
      </c>
      <c r="H146" s="5" t="inlineStr">
        <is>
          <t>no_data</t>
        </is>
      </c>
      <c r="I146" s="5">
        <f>COUNTIFS(建案總表_642案!$E$2:$E$643,$G146)</f>
        <v/>
      </c>
      <c r="J146" s="5" t="inlineStr">
        <is>
          <t>lienchiang/幾乎無.html</t>
        </is>
      </c>
      <c r="K146" s="5" t="inlineStr">
        <is>
          <t>已存在</t>
        </is>
      </c>
      <c r="L146" s="9" t="inlineStr">
        <is>
          <t>lienchiang/幾乎無.html</t>
        </is>
      </c>
    </row>
    <row r="147">
      <c r="A147" s="5" t="n">
        <v>146</v>
      </c>
      <c r="B147" s="5" t="inlineStr">
        <is>
          <t>連江縣</t>
        </is>
      </c>
      <c r="C147" s="5" t="inlineStr">
        <is>
          <t>lienchiang</t>
        </is>
      </c>
      <c r="D147" s="5" t="inlineStr">
        <is>
          <t>離島地區</t>
        </is>
      </c>
      <c r="E147" s="5" t="inlineStr">
        <is>
          <t>區段徵收</t>
        </is>
      </c>
      <c r="F147" s="5" t="inlineStr">
        <is>
          <t>zone-expropriation.html</t>
        </is>
      </c>
      <c r="G147" s="5" t="inlineStr">
        <is>
          <t>僅公共建設類</t>
        </is>
      </c>
      <c r="H147" s="5" t="inlineStr">
        <is>
          <t>no_data</t>
        </is>
      </c>
      <c r="I147" s="5">
        <f>COUNTIFS(建案總表_642案!$E$2:$E$643,$G147)</f>
        <v/>
      </c>
      <c r="J147" s="5" t="inlineStr">
        <is>
          <t>lienchiang/僅公共建設類.html</t>
        </is>
      </c>
      <c r="K147" s="5" t="inlineStr">
        <is>
          <t>已存在</t>
        </is>
      </c>
      <c r="L147" s="9" t="inlineStr">
        <is>
          <t>lienchiang/僅公共建設類.html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3" customWidth="1" min="3" max="3"/>
    <col width="42" customWidth="1" min="4" max="4"/>
    <col width="42" customWidth="1" min="5" max="5"/>
    <col width="28" customWidth="1" min="6" max="6"/>
    <col width="42" customWidth="1" min="7" max="7"/>
    <col width="42" customWidth="1" min="8" max="8"/>
    <col width="41" customWidth="1" min="9" max="9"/>
    <col width="36" customWidth="1" min="10" max="10"/>
    <col width="42" customWidth="1" min="11" max="11"/>
  </cols>
  <sheetData>
    <row r="1">
      <c r="A1" s="1" t="inlineStr">
        <is>
          <t>縣市</t>
        </is>
      </c>
      <c r="B1" s="1" t="inlineStr">
        <is>
          <t>slug</t>
        </is>
      </c>
      <c r="C1" s="1" t="inlineStr">
        <is>
          <t>region</t>
        </is>
      </c>
      <c r="D1" s="1" t="inlineStr">
        <is>
          <t>重劃區數</t>
        </is>
      </c>
      <c r="E1" s="1" t="inlineStr">
        <is>
          <t>建案數</t>
        </is>
      </c>
      <c r="F1" s="1" t="inlineStr">
        <is>
          <t>index.html</t>
        </is>
      </c>
      <c r="G1" s="1" t="inlineStr">
        <is>
          <t>公辦市地重劃頁</t>
        </is>
      </c>
      <c r="H1" s="1" t="inlineStr">
        <is>
          <t>自辦市地重劃頁</t>
        </is>
      </c>
      <c r="I1" s="1" t="inlineStr">
        <is>
          <t>區段徵收頁</t>
        </is>
      </c>
      <c r="J1" s="1" t="inlineStr">
        <is>
          <t>都市更新頁</t>
        </is>
      </c>
      <c r="K1" s="1" t="inlineStr">
        <is>
          <t>百科頁</t>
        </is>
      </c>
    </row>
    <row r="2">
      <c r="A2" s="5" t="inlineStr">
        <is>
          <t>臺北市</t>
        </is>
      </c>
      <c r="B2" s="5" t="inlineStr">
        <is>
          <t>taipei</t>
        </is>
      </c>
      <c r="C2" s="5" t="inlineStr">
        <is>
          <t>六大直轄市</t>
        </is>
      </c>
      <c r="D2" s="5">
        <f>COUNTIF(主庫_重劃區146區!$B$2:$B$147,$A2)</f>
        <v/>
      </c>
      <c r="E2" s="5">
        <f>COUNTIFS(建案總表_642案!$B$2:$B$643,$A2)</f>
        <v/>
      </c>
      <c r="F2" s="5" t="inlineStr">
        <is>
          <t>taipei/index.html</t>
        </is>
      </c>
      <c r="G2" s="5" t="inlineStr">
        <is>
          <t>taipei/public-urban-land-readjustment.html</t>
        </is>
      </c>
      <c r="H2" s="5" t="inlineStr">
        <is>
          <t>taipei/private-urban-land-readjustment.html</t>
        </is>
      </c>
      <c r="I2" s="5" t="inlineStr">
        <is>
          <t>taipei/zone-expropriation.html</t>
        </is>
      </c>
      <c r="J2" s="5" t="inlineStr">
        <is>
          <t>taipei/urban-renewal.html</t>
        </is>
      </c>
      <c r="K2" s="5" t="inlineStr">
        <is>
          <t>taipei/百科-臺北市重劃區與建案.html</t>
        </is>
      </c>
    </row>
    <row r="3">
      <c r="A3" s="5" t="inlineStr">
        <is>
          <t>新北市</t>
        </is>
      </c>
      <c r="B3" s="5" t="inlineStr">
        <is>
          <t>new-taipei</t>
        </is>
      </c>
      <c r="C3" s="5" t="inlineStr">
        <is>
          <t>六大直轄市</t>
        </is>
      </c>
      <c r="D3" s="5">
        <f>COUNTIF(主庫_重劃區146區!$B$2:$B$147,$A3)</f>
        <v/>
      </c>
      <c r="E3" s="5">
        <f>COUNTIFS(建案總表_642案!$B$2:$B$643,$A3)</f>
        <v/>
      </c>
      <c r="F3" s="5" t="inlineStr">
        <is>
          <t>new-taipei/index.html</t>
        </is>
      </c>
      <c r="G3" s="5" t="inlineStr">
        <is>
          <t>new-taipei/public-urban-land-readjustment.html</t>
        </is>
      </c>
      <c r="H3" s="5" t="inlineStr">
        <is>
          <t>new-taipei/private-urban-land-readjustment.html</t>
        </is>
      </c>
      <c r="I3" s="5" t="inlineStr">
        <is>
          <t>new-taipei/zone-expropriation.html</t>
        </is>
      </c>
      <c r="J3" s="5" t="inlineStr">
        <is>
          <t>new-taipei/urban-renewal.html</t>
        </is>
      </c>
      <c r="K3" s="5" t="inlineStr">
        <is>
          <t>new-taipei/新北市重劃區與建案.html</t>
        </is>
      </c>
    </row>
    <row r="4">
      <c r="A4" s="5" t="inlineStr">
        <is>
          <t>桃園市</t>
        </is>
      </c>
      <c r="B4" s="5" t="inlineStr">
        <is>
          <t>taoyuan</t>
        </is>
      </c>
      <c r="C4" s="5" t="inlineStr">
        <is>
          <t>六大直轄市</t>
        </is>
      </c>
      <c r="D4" s="5">
        <f>COUNTIF(主庫_重劃區146區!$B$2:$B$147,$A4)</f>
        <v/>
      </c>
      <c r="E4" s="5">
        <f>COUNTIFS(建案總表_642案!$B$2:$B$643,$A4)</f>
        <v/>
      </c>
      <c r="F4" s="5" t="inlineStr">
        <is>
          <t>taoyuan/index.html</t>
        </is>
      </c>
      <c r="G4" s="5" t="inlineStr">
        <is>
          <t>taoyuan/public-urban-land-readjustment.html</t>
        </is>
      </c>
      <c r="H4" s="5" t="inlineStr">
        <is>
          <t>taoyuan/private-urban-land-readjustment.html</t>
        </is>
      </c>
      <c r="I4" s="5" t="inlineStr">
        <is>
          <t>taoyuan/zone-expropriation.html</t>
        </is>
      </c>
      <c r="J4" s="5" t="inlineStr">
        <is>
          <t>taoyuan/urban-renewal.html</t>
        </is>
      </c>
      <c r="K4" s="5" t="inlineStr">
        <is>
          <t>taoyuan/encyclopedia.html</t>
        </is>
      </c>
    </row>
    <row r="5">
      <c r="A5" s="5" t="inlineStr">
        <is>
          <t>臺中市</t>
        </is>
      </c>
      <c r="B5" s="5" t="inlineStr">
        <is>
          <t>taichung</t>
        </is>
      </c>
      <c r="C5" s="5" t="inlineStr">
        <is>
          <t>六大直轄市</t>
        </is>
      </c>
      <c r="D5" s="5">
        <f>COUNTIF(主庫_重劃區146區!$B$2:$B$147,$A5)</f>
        <v/>
      </c>
      <c r="E5" s="5">
        <f>COUNTIFS(建案總表_642案!$B$2:$B$643,$A5)</f>
        <v/>
      </c>
      <c r="F5" s="5" t="inlineStr">
        <is>
          <t>taichung/index.html</t>
        </is>
      </c>
      <c r="G5" s="5" t="inlineStr">
        <is>
          <t>taichung/public-urban-land-readjustment.html</t>
        </is>
      </c>
      <c r="H5" s="5" t="inlineStr">
        <is>
          <t>taichung/private-urban-land-readjustment.html</t>
        </is>
      </c>
      <c r="I5" s="5" t="inlineStr">
        <is>
          <t>taichung/zone-expropriation.html</t>
        </is>
      </c>
      <c r="J5" s="5" t="inlineStr">
        <is>
          <t>taichung/urban-renewal.html</t>
        </is>
      </c>
      <c r="K5" s="5" t="inlineStr">
        <is>
          <t>taichung/百科-臺中市重劃區與建案.html</t>
        </is>
      </c>
    </row>
    <row r="6">
      <c r="A6" s="5" t="inlineStr">
        <is>
          <t>臺南市</t>
        </is>
      </c>
      <c r="B6" s="5" t="inlineStr">
        <is>
          <t>tainan</t>
        </is>
      </c>
      <c r="C6" s="5" t="inlineStr">
        <is>
          <t>六大直轄市</t>
        </is>
      </c>
      <c r="D6" s="5">
        <f>COUNTIF(主庫_重劃區146區!$B$2:$B$147,$A6)</f>
        <v/>
      </c>
      <c r="E6" s="5">
        <f>COUNTIFS(建案總表_642案!$B$2:$B$643,$A6)</f>
        <v/>
      </c>
      <c r="F6" s="5" t="inlineStr">
        <is>
          <t>tainan/index.html</t>
        </is>
      </c>
      <c r="G6" s="5" t="inlineStr">
        <is>
          <t>tainan/public-urban-land-readjustment.html</t>
        </is>
      </c>
      <c r="H6" s="5" t="inlineStr">
        <is>
          <t>tainan/private-urban-land-readjustment.html</t>
        </is>
      </c>
      <c r="I6" s="5" t="inlineStr">
        <is>
          <t>tainan/zone-expropriation.html</t>
        </is>
      </c>
      <c r="J6" s="5" t="inlineStr">
        <is>
          <t>tainan/urban-renewal.html</t>
        </is>
      </c>
      <c r="K6" s="5" t="inlineStr">
        <is>
          <t>tainan/百科-臺南市重劃區與建案.html</t>
        </is>
      </c>
    </row>
    <row r="7">
      <c r="A7" s="5" t="inlineStr">
        <is>
          <t>高雄市</t>
        </is>
      </c>
      <c r="B7" s="5" t="inlineStr">
        <is>
          <t>kaohsiung</t>
        </is>
      </c>
      <c r="C7" s="5" t="inlineStr">
        <is>
          <t>六大直轄市</t>
        </is>
      </c>
      <c r="D7" s="5">
        <f>COUNTIF(主庫_重劃區146區!$B$2:$B$147,$A7)</f>
        <v/>
      </c>
      <c r="E7" s="5">
        <f>COUNTIFS(建案總表_642案!$B$2:$B$643,$A7)</f>
        <v/>
      </c>
      <c r="F7" s="5" t="inlineStr">
        <is>
          <t>kaohsiung/index.html</t>
        </is>
      </c>
      <c r="G7" s="5" t="inlineStr">
        <is>
          <t>kaohsiung/public-urban-land-readjustment.html</t>
        </is>
      </c>
      <c r="H7" s="5" t="inlineStr">
        <is>
          <t>kaohsiung/private-urban-land-readjustment.html</t>
        </is>
      </c>
      <c r="I7" s="5" t="inlineStr">
        <is>
          <t>kaohsiung/zone-expropriation.html</t>
        </is>
      </c>
      <c r="J7" s="5" t="inlineStr">
        <is>
          <t>kaohsiung/urban-renewal.html</t>
        </is>
      </c>
      <c r="K7" s="5" t="inlineStr">
        <is>
          <t>kaohsiung/百科-高雄市重劃區與建案.html</t>
        </is>
      </c>
    </row>
    <row r="8">
      <c r="A8" s="5" t="inlineStr">
        <is>
          <t>基隆市</t>
        </is>
      </c>
      <c r="B8" s="5" t="inlineStr">
        <is>
          <t>keelung</t>
        </is>
      </c>
      <c r="C8" s="5" t="inlineStr">
        <is>
          <t>北部地區</t>
        </is>
      </c>
      <c r="D8" s="5">
        <f>COUNTIF(主庫_重劃區146區!$B$2:$B$147,$A8)</f>
        <v/>
      </c>
      <c r="E8" s="5">
        <f>COUNTIFS(建案總表_642案!$B$2:$B$643,$A8)</f>
        <v/>
      </c>
      <c r="F8" s="5" t="inlineStr">
        <is>
          <t>keelung/index.html</t>
        </is>
      </c>
      <c r="G8" s="5" t="inlineStr">
        <is>
          <t>keelung/public-urban-land-readjustment.html</t>
        </is>
      </c>
      <c r="H8" s="5" t="inlineStr">
        <is>
          <t>keelung/private-urban-land-readjustment.html</t>
        </is>
      </c>
      <c r="I8" s="5" t="inlineStr">
        <is>
          <t>keelung/zone-expropriation.html</t>
        </is>
      </c>
      <c r="J8" s="5" t="inlineStr">
        <is>
          <t>keelung/urban-renewal.html</t>
        </is>
      </c>
      <c r="K8" s="5" t="inlineStr">
        <is>
          <t>keelung/百科-基隆市重劃區與建案.html</t>
        </is>
      </c>
    </row>
    <row r="9">
      <c r="A9" s="5" t="inlineStr">
        <is>
          <t>新竹市</t>
        </is>
      </c>
      <c r="B9" s="5" t="inlineStr">
        <is>
          <t>hsinchu-city</t>
        </is>
      </c>
      <c r="C9" s="5" t="inlineStr">
        <is>
          <t>北部地區</t>
        </is>
      </c>
      <c r="D9" s="5">
        <f>COUNTIF(主庫_重劃區146區!$B$2:$B$147,$A9)</f>
        <v/>
      </c>
      <c r="E9" s="5">
        <f>COUNTIFS(建案總表_642案!$B$2:$B$643,$A9)</f>
        <v/>
      </c>
      <c r="F9" s="5" t="inlineStr">
        <is>
          <t>hsinchu-city/index.html</t>
        </is>
      </c>
      <c r="G9" s="5" t="inlineStr">
        <is>
          <t>hsinchu-city/public-urban-land-readjustment.html</t>
        </is>
      </c>
      <c r="H9" s="5" t="inlineStr">
        <is>
          <t>hsinchu-city/private-urban-land-readjustment.html</t>
        </is>
      </c>
      <c r="I9" s="5" t="inlineStr">
        <is>
          <t>hsinchu-city/zone-expropriation.html</t>
        </is>
      </c>
      <c r="J9" s="5" t="inlineStr">
        <is>
          <t>hsinchu-city/urban-renewal.html</t>
        </is>
      </c>
      <c r="K9" s="5" t="inlineStr">
        <is>
          <t>hsinchu-city/百科-新竹市重劃區與建案.html</t>
        </is>
      </c>
    </row>
    <row r="10">
      <c r="A10" s="5" t="inlineStr">
        <is>
          <t>新竹縣</t>
        </is>
      </c>
      <c r="B10" s="5" t="inlineStr">
        <is>
          <t>hsinchu-county</t>
        </is>
      </c>
      <c r="C10" s="5" t="inlineStr">
        <is>
          <t>北部地區</t>
        </is>
      </c>
      <c r="D10" s="5">
        <f>COUNTIF(主庫_重劃區146區!$B$2:$B$147,$A10)</f>
        <v/>
      </c>
      <c r="E10" s="5">
        <f>COUNTIFS(建案總表_642案!$B$2:$B$643,$A10)</f>
        <v/>
      </c>
      <c r="F10" s="5" t="inlineStr">
        <is>
          <t>hsinchu-county/index.html</t>
        </is>
      </c>
      <c r="G10" s="5" t="inlineStr">
        <is>
          <t>hsinchu-county/public-urban-land-readjustment.html</t>
        </is>
      </c>
      <c r="H10" s="5" t="inlineStr">
        <is>
          <t>hsinchu-county/private-urban-land-readjustment.html</t>
        </is>
      </c>
      <c r="I10" s="5" t="inlineStr">
        <is>
          <t>hsinchu-county/zone-expropriation.html</t>
        </is>
      </c>
      <c r="J10" s="5" t="inlineStr">
        <is>
          <t>hsinchu-county/urban-renewal.html</t>
        </is>
      </c>
      <c r="K10" s="5" t="inlineStr">
        <is>
          <t>hsinchu-county/百科-新竹縣重劃區與建案.html</t>
        </is>
      </c>
    </row>
    <row r="11">
      <c r="A11" s="5" t="inlineStr">
        <is>
          <t>苗栗縣</t>
        </is>
      </c>
      <c r="B11" s="5" t="inlineStr">
        <is>
          <t>miaoli</t>
        </is>
      </c>
      <c r="C11" s="5" t="inlineStr">
        <is>
          <t>北部地區</t>
        </is>
      </c>
      <c r="D11" s="5">
        <f>COUNTIF(主庫_重劃區146區!$B$2:$B$147,$A11)</f>
        <v/>
      </c>
      <c r="E11" s="5">
        <f>COUNTIFS(建案總表_642案!$B$2:$B$643,$A11)</f>
        <v/>
      </c>
      <c r="F11" s="5" t="inlineStr">
        <is>
          <t>miaoli/index.html</t>
        </is>
      </c>
      <c r="G11" s="5" t="inlineStr">
        <is>
          <t>miaoli/public-urban-land-readjustment.html</t>
        </is>
      </c>
      <c r="H11" s="5" t="inlineStr">
        <is>
          <t>miaoli/private-urban-land-readjustment.html</t>
        </is>
      </c>
      <c r="I11" s="5" t="inlineStr">
        <is>
          <t>miaoli/zone-expropriation.html</t>
        </is>
      </c>
      <c r="J11" s="5" t="inlineStr">
        <is>
          <t>miaoli/urban-renewal.html</t>
        </is>
      </c>
      <c r="K11" s="5" t="inlineStr">
        <is>
          <t>miaoli/百科-苗栗縣重劃區與建案.html</t>
        </is>
      </c>
    </row>
    <row r="12">
      <c r="A12" s="5" t="inlineStr">
        <is>
          <t>宜蘭縣</t>
        </is>
      </c>
      <c r="B12" s="5" t="inlineStr">
        <is>
          <t>yilan</t>
        </is>
      </c>
      <c r="C12" s="5" t="inlineStr">
        <is>
          <t>北部地區</t>
        </is>
      </c>
      <c r="D12" s="5">
        <f>COUNTIF(主庫_重劃區146區!$B$2:$B$147,$A12)</f>
        <v/>
      </c>
      <c r="E12" s="5">
        <f>COUNTIFS(建案總表_642案!$B$2:$B$643,$A12)</f>
        <v/>
      </c>
      <c r="F12" s="5" t="inlineStr">
        <is>
          <t>yilan/index.html</t>
        </is>
      </c>
      <c r="G12" s="5" t="inlineStr">
        <is>
          <t>yilan/public-urban-land-readjustment.html</t>
        </is>
      </c>
      <c r="H12" s="5" t="inlineStr">
        <is>
          <t>yilan/private-urban-land-readjustment.html</t>
        </is>
      </c>
      <c r="I12" s="5" t="inlineStr">
        <is>
          <t>yilan/zone-expropriation.html</t>
        </is>
      </c>
      <c r="J12" s="5" t="inlineStr">
        <is>
          <t>yilan/urban-renewal.html</t>
        </is>
      </c>
      <c r="K12" s="5" t="inlineStr">
        <is>
          <t>yilan/百科-宜蘭縣重劃區與建案.html</t>
        </is>
      </c>
    </row>
    <row r="13">
      <c r="A13" s="5" t="inlineStr">
        <is>
          <t>彰化縣</t>
        </is>
      </c>
      <c r="B13" s="5" t="inlineStr">
        <is>
          <t>changhua</t>
        </is>
      </c>
      <c r="C13" s="5" t="inlineStr">
        <is>
          <t>中部地區</t>
        </is>
      </c>
      <c r="D13" s="5">
        <f>COUNTIF(主庫_重劃區146區!$B$2:$B$147,$A13)</f>
        <v/>
      </c>
      <c r="E13" s="5">
        <f>COUNTIFS(建案總表_642案!$B$2:$B$643,$A13)</f>
        <v/>
      </c>
      <c r="F13" s="5" t="inlineStr">
        <is>
          <t>changhua/index.html</t>
        </is>
      </c>
      <c r="G13" s="5" t="inlineStr">
        <is>
          <t>changhua/public-urban-land-readjustment.html</t>
        </is>
      </c>
      <c r="H13" s="5" t="inlineStr">
        <is>
          <t>changhua/private-urban-land-readjustment.html</t>
        </is>
      </c>
      <c r="I13" s="5" t="inlineStr">
        <is>
          <t>changhua/zone-expropriation.html</t>
        </is>
      </c>
      <c r="J13" s="5" t="inlineStr">
        <is>
          <t>changhua/urban-renewal.html</t>
        </is>
      </c>
      <c r="K13" s="5" t="inlineStr">
        <is>
          <t>changhua/百科-彰化縣重劃區與建案.html</t>
        </is>
      </c>
    </row>
    <row r="14">
      <c r="A14" s="5" t="inlineStr">
        <is>
          <t>南投縣</t>
        </is>
      </c>
      <c r="B14" s="5" t="inlineStr">
        <is>
          <t>nantou</t>
        </is>
      </c>
      <c r="C14" s="5" t="inlineStr">
        <is>
          <t>中部地區</t>
        </is>
      </c>
      <c r="D14" s="5">
        <f>COUNTIF(主庫_重劃區146區!$B$2:$B$147,$A14)</f>
        <v/>
      </c>
      <c r="E14" s="5">
        <f>COUNTIFS(建案總表_642案!$B$2:$B$643,$A14)</f>
        <v/>
      </c>
      <c r="F14" s="5" t="inlineStr">
        <is>
          <t>nantou/index.html</t>
        </is>
      </c>
      <c r="G14" s="5" t="inlineStr">
        <is>
          <t>nantou/public-urban-land-readjustment.html</t>
        </is>
      </c>
      <c r="H14" s="5" t="inlineStr">
        <is>
          <t>nantou/private-urban-land-readjustment.html</t>
        </is>
      </c>
      <c r="I14" s="5" t="inlineStr">
        <is>
          <t>nantou/zone-expropriation.html</t>
        </is>
      </c>
      <c r="J14" s="5" t="inlineStr">
        <is>
          <t>nantou/urban-renewal.html</t>
        </is>
      </c>
      <c r="K14" s="5" t="inlineStr">
        <is>
          <t>nantou/百科-南投縣重劃區與建案.html</t>
        </is>
      </c>
    </row>
    <row r="15">
      <c r="A15" s="5" t="inlineStr">
        <is>
          <t>雲林縣</t>
        </is>
      </c>
      <c r="B15" s="5" t="inlineStr">
        <is>
          <t>yunlin</t>
        </is>
      </c>
      <c r="C15" s="5" t="inlineStr">
        <is>
          <t>中部地區</t>
        </is>
      </c>
      <c r="D15" s="5">
        <f>COUNTIF(主庫_重劃區146區!$B$2:$B$147,$A15)</f>
        <v/>
      </c>
      <c r="E15" s="5">
        <f>COUNTIFS(建案總表_642案!$B$2:$B$643,$A15)</f>
        <v/>
      </c>
      <c r="F15" s="5" t="inlineStr">
        <is>
          <t>yunlin/index.html</t>
        </is>
      </c>
      <c r="G15" s="5" t="inlineStr">
        <is>
          <t>yunlin/public-urban-land-readjustment.html</t>
        </is>
      </c>
      <c r="H15" s="5" t="inlineStr">
        <is>
          <t>yunlin/private-urban-land-readjustment.html</t>
        </is>
      </c>
      <c r="I15" s="5" t="inlineStr">
        <is>
          <t>yunlin/zone-expropriation.html</t>
        </is>
      </c>
      <c r="J15" s="5" t="inlineStr">
        <is>
          <t>yunlin/urban-renewal.html</t>
        </is>
      </c>
      <c r="K15" s="5" t="inlineStr">
        <is>
          <t>yunlin/百科-雲林縣重劃區與建案.html</t>
        </is>
      </c>
    </row>
    <row r="16">
      <c r="A16" s="5" t="inlineStr">
        <is>
          <t>嘉義市</t>
        </is>
      </c>
      <c r="B16" s="5" t="inlineStr">
        <is>
          <t>chiayi-city</t>
        </is>
      </c>
      <c r="C16" s="5" t="inlineStr">
        <is>
          <t>中部地區</t>
        </is>
      </c>
      <c r="D16" s="5">
        <f>COUNTIF(主庫_重劃區146區!$B$2:$B$147,$A16)</f>
        <v/>
      </c>
      <c r="E16" s="5">
        <f>COUNTIFS(建案總表_642案!$B$2:$B$643,$A16)</f>
        <v/>
      </c>
      <c r="F16" s="5" t="inlineStr">
        <is>
          <t>chiayi-city/index.html</t>
        </is>
      </c>
      <c r="G16" s="5" t="inlineStr">
        <is>
          <t>chiayi-city/public-urban-land-readjustment.html</t>
        </is>
      </c>
      <c r="H16" s="5" t="inlineStr">
        <is>
          <t>chiayi-city/private-urban-land-readjustment.html</t>
        </is>
      </c>
      <c r="I16" s="5" t="inlineStr">
        <is>
          <t>chiayi-city/zone-expropriation.html</t>
        </is>
      </c>
      <c r="J16" s="5" t="inlineStr">
        <is>
          <t>chiayi-city/urban-renewal.html</t>
        </is>
      </c>
      <c r="K16" s="5" t="inlineStr">
        <is>
          <t>chiayi-city/百科-嘉義市重劃區與建案.html</t>
        </is>
      </c>
    </row>
    <row r="17">
      <c r="A17" s="5" t="inlineStr">
        <is>
          <t>嘉義縣</t>
        </is>
      </c>
      <c r="B17" s="5" t="inlineStr">
        <is>
          <t>chiayi-county</t>
        </is>
      </c>
      <c r="C17" s="5" t="inlineStr">
        <is>
          <t>中部地區</t>
        </is>
      </c>
      <c r="D17" s="5">
        <f>COUNTIF(主庫_重劃區146區!$B$2:$B$147,$A17)</f>
        <v/>
      </c>
      <c r="E17" s="5">
        <f>COUNTIFS(建案總表_642案!$B$2:$B$643,$A17)</f>
        <v/>
      </c>
      <c r="F17" s="5" t="inlineStr">
        <is>
          <t>chiayi-county/index.html</t>
        </is>
      </c>
      <c r="G17" s="5" t="inlineStr">
        <is>
          <t>chiayi-county/public-urban-land-readjustment.html</t>
        </is>
      </c>
      <c r="H17" s="5" t="inlineStr">
        <is>
          <t>chiayi-county/private-urban-land-readjustment.html</t>
        </is>
      </c>
      <c r="I17" s="5" t="inlineStr">
        <is>
          <t>chiayi-county/zone-expropriation.html</t>
        </is>
      </c>
      <c r="J17" s="5" t="inlineStr">
        <is>
          <t>chiayi-county/urban-renewal.html</t>
        </is>
      </c>
      <c r="K17" s="5" t="inlineStr">
        <is>
          <t>chiayi-county/百科-嘉義縣重劃區與建案.html</t>
        </is>
      </c>
    </row>
    <row r="18">
      <c r="A18" s="5" t="inlineStr">
        <is>
          <t>屏東縣</t>
        </is>
      </c>
      <c r="B18" s="5" t="inlineStr">
        <is>
          <t>pingtung</t>
        </is>
      </c>
      <c r="C18" s="5" t="inlineStr">
        <is>
          <t>南部地區</t>
        </is>
      </c>
      <c r="D18" s="5">
        <f>COUNTIF(主庫_重劃區146區!$B$2:$B$147,$A18)</f>
        <v/>
      </c>
      <c r="E18" s="5">
        <f>COUNTIFS(建案總表_642案!$B$2:$B$643,$A18)</f>
        <v/>
      </c>
      <c r="F18" s="5" t="inlineStr">
        <is>
          <t>pingtung/index.html</t>
        </is>
      </c>
      <c r="G18" s="5" t="inlineStr">
        <is>
          <t>pingtung/public-urban-land-readjustment.html</t>
        </is>
      </c>
      <c r="H18" s="5" t="inlineStr">
        <is>
          <t>pingtung/private-urban-land-readjustment.html</t>
        </is>
      </c>
      <c r="I18" s="5" t="inlineStr">
        <is>
          <t>pingtung/zone-expropriation.html</t>
        </is>
      </c>
      <c r="J18" s="5" t="inlineStr">
        <is>
          <t>pingtung/urban-renewal.html</t>
        </is>
      </c>
      <c r="K18" s="5" t="inlineStr">
        <is>
          <t>pingtung/百科-屏東縣重劃區與建案.html</t>
        </is>
      </c>
    </row>
    <row r="19">
      <c r="A19" s="5" t="inlineStr">
        <is>
          <t>花蓮縣</t>
        </is>
      </c>
      <c r="B19" s="5" t="inlineStr">
        <is>
          <t>hualien</t>
        </is>
      </c>
      <c r="C19" s="5" t="inlineStr">
        <is>
          <t>東部地區</t>
        </is>
      </c>
      <c r="D19" s="5">
        <f>COUNTIF(主庫_重劃區146區!$B$2:$B$147,$A19)</f>
        <v/>
      </c>
      <c r="E19" s="5">
        <f>COUNTIFS(建案總表_642案!$B$2:$B$643,$A19)</f>
        <v/>
      </c>
      <c r="F19" s="5" t="inlineStr">
        <is>
          <t>hualien/index.html</t>
        </is>
      </c>
      <c r="G19" s="5" t="inlineStr">
        <is>
          <t>hualien/public-urban-land-readjustment.html</t>
        </is>
      </c>
      <c r="H19" s="5" t="inlineStr">
        <is>
          <t>hualien/private-urban-land-readjustment.html</t>
        </is>
      </c>
      <c r="I19" s="5" t="inlineStr">
        <is>
          <t>hualien/zone-expropriation.html</t>
        </is>
      </c>
      <c r="J19" s="5" t="inlineStr">
        <is>
          <t>hualien/urban-renewal.html</t>
        </is>
      </c>
      <c r="K19" s="5" t="inlineStr">
        <is>
          <t>hualien/百科-花蓮縣重劃區與建案.html</t>
        </is>
      </c>
    </row>
    <row r="20">
      <c r="A20" s="5" t="inlineStr">
        <is>
          <t>臺東縣</t>
        </is>
      </c>
      <c r="B20" s="5" t="inlineStr">
        <is>
          <t>taitung</t>
        </is>
      </c>
      <c r="C20" s="5" t="inlineStr">
        <is>
          <t>東部地區</t>
        </is>
      </c>
      <c r="D20" s="5">
        <f>COUNTIF(主庫_重劃區146區!$B$2:$B$147,$A20)</f>
        <v/>
      </c>
      <c r="E20" s="5">
        <f>COUNTIFS(建案總表_642案!$B$2:$B$643,$A20)</f>
        <v/>
      </c>
      <c r="F20" s="5" t="inlineStr">
        <is>
          <t>taitung/index.html</t>
        </is>
      </c>
      <c r="G20" s="5" t="inlineStr">
        <is>
          <t>taitung/public-urban-land-readjustment.html</t>
        </is>
      </c>
      <c r="H20" s="5" t="inlineStr">
        <is>
          <t>taitung/private-urban-land-readjustment.html</t>
        </is>
      </c>
      <c r="I20" s="5" t="inlineStr">
        <is>
          <t>taitung/zone-expropriation.html</t>
        </is>
      </c>
      <c r="J20" s="5" t="inlineStr">
        <is>
          <t>taitung/urban-renewal.html</t>
        </is>
      </c>
      <c r="K20" s="5" t="inlineStr">
        <is>
          <t>taitung/百科-臺東縣重劃區與建案.html</t>
        </is>
      </c>
    </row>
    <row r="21">
      <c r="A21" s="5" t="inlineStr">
        <is>
          <t>澎湖縣</t>
        </is>
      </c>
      <c r="B21" s="5" t="inlineStr">
        <is>
          <t>penghu</t>
        </is>
      </c>
      <c r="C21" s="5" t="inlineStr">
        <is>
          <t>離島地區</t>
        </is>
      </c>
      <c r="D21" s="5">
        <f>COUNTIF(主庫_重劃區146區!$B$2:$B$147,$A21)</f>
        <v/>
      </c>
      <c r="E21" s="5">
        <f>COUNTIFS(建案總表_642案!$B$2:$B$643,$A21)</f>
        <v/>
      </c>
      <c r="F21" s="5" t="inlineStr">
        <is>
          <t>penghu/index.html</t>
        </is>
      </c>
      <c r="G21" s="5" t="inlineStr">
        <is>
          <t>penghu/public-urban-land-readjustment.html</t>
        </is>
      </c>
      <c r="H21" s="5" t="inlineStr">
        <is>
          <t>penghu/private-urban-land-readjustment.html</t>
        </is>
      </c>
      <c r="I21" s="5" t="inlineStr">
        <is>
          <t>penghu/zone-expropriation.html</t>
        </is>
      </c>
      <c r="J21" s="5" t="inlineStr">
        <is>
          <t>penghu/urban-renewal.html</t>
        </is>
      </c>
      <c r="K21" s="5" t="inlineStr">
        <is>
          <t>penghu/百科-澎湖縣重劃區與建案.html</t>
        </is>
      </c>
    </row>
    <row r="22">
      <c r="A22" s="5" t="inlineStr">
        <is>
          <t>金門縣</t>
        </is>
      </c>
      <c r="B22" s="5" t="inlineStr">
        <is>
          <t>kinmen</t>
        </is>
      </c>
      <c r="C22" s="5" t="inlineStr">
        <is>
          <t>離島地區</t>
        </is>
      </c>
      <c r="D22" s="5">
        <f>COUNTIF(主庫_重劃區146區!$B$2:$B$147,$A22)</f>
        <v/>
      </c>
      <c r="E22" s="5">
        <f>COUNTIFS(建案總表_642案!$B$2:$B$643,$A22)</f>
        <v/>
      </c>
      <c r="F22" s="5" t="inlineStr">
        <is>
          <t>kinmen/index.html</t>
        </is>
      </c>
      <c r="G22" s="5" t="inlineStr">
        <is>
          <t>kinmen/public-urban-land-readjustment.html</t>
        </is>
      </c>
      <c r="H22" s="5" t="inlineStr">
        <is>
          <t>kinmen/private-urban-land-readjustment.html</t>
        </is>
      </c>
      <c r="I22" s="5" t="inlineStr">
        <is>
          <t>kinmen/zone-expropriation.html</t>
        </is>
      </c>
      <c r="J22" s="5" t="inlineStr">
        <is>
          <t>kinmen/urban-renewal.html</t>
        </is>
      </c>
      <c r="K22" s="5" t="inlineStr">
        <is>
          <t>kinmen/百科-金門縣重劃區與建案.html</t>
        </is>
      </c>
    </row>
    <row r="23">
      <c r="A23" s="5" t="inlineStr">
        <is>
          <t>連江縣</t>
        </is>
      </c>
      <c r="B23" s="5" t="inlineStr">
        <is>
          <t>lienchiang</t>
        </is>
      </c>
      <c r="C23" s="5" t="inlineStr">
        <is>
          <t>離島地區</t>
        </is>
      </c>
      <c r="D23" s="5">
        <f>COUNTIF(主庫_重劃區146區!$B$2:$B$147,$A23)</f>
        <v/>
      </c>
      <c r="E23" s="5">
        <f>COUNTIFS(建案總表_642案!$B$2:$B$643,$A23)</f>
        <v/>
      </c>
      <c r="F23" s="5" t="inlineStr">
        <is>
          <t>lienchiang/index.html</t>
        </is>
      </c>
      <c r="G23" s="5" t="inlineStr">
        <is>
          <t>lienchiang/public-urban-land-readjustment.html</t>
        </is>
      </c>
      <c r="H23" s="5" t="inlineStr">
        <is>
          <t>lienchiang/private-urban-land-readjustment.html</t>
        </is>
      </c>
      <c r="I23" s="5" t="inlineStr">
        <is>
          <t>lienchiang/zone-expropriation.html</t>
        </is>
      </c>
      <c r="J23" s="5" t="inlineStr">
        <is>
          <t>lienchiang/urban-renewal.html</t>
        </is>
      </c>
      <c r="K23" s="5" t="inlineStr">
        <is>
          <t>lienchiang/百科-連江縣重劃區與建案.html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I2" r:id="rId4"/>
    <hyperlink xmlns:r="http://schemas.openxmlformats.org/officeDocument/2006/relationships" ref="J2" r:id="rId5"/>
    <hyperlink xmlns:r="http://schemas.openxmlformats.org/officeDocument/2006/relationships" ref="K2" r:id="rId6"/>
    <hyperlink xmlns:r="http://schemas.openxmlformats.org/officeDocument/2006/relationships" ref="F3" r:id="rId7"/>
    <hyperlink xmlns:r="http://schemas.openxmlformats.org/officeDocument/2006/relationships" ref="G3" r:id="rId8"/>
    <hyperlink xmlns:r="http://schemas.openxmlformats.org/officeDocument/2006/relationships" ref="H3" r:id="rId9"/>
    <hyperlink xmlns:r="http://schemas.openxmlformats.org/officeDocument/2006/relationships" ref="I3" r:id="rId10"/>
    <hyperlink xmlns:r="http://schemas.openxmlformats.org/officeDocument/2006/relationships" ref="J3" r:id="rId11"/>
    <hyperlink xmlns:r="http://schemas.openxmlformats.org/officeDocument/2006/relationships" ref="K3" r:id="rId12"/>
    <hyperlink xmlns:r="http://schemas.openxmlformats.org/officeDocument/2006/relationships" ref="F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I4" r:id="rId16"/>
    <hyperlink xmlns:r="http://schemas.openxmlformats.org/officeDocument/2006/relationships" ref="J4" r:id="rId17"/>
    <hyperlink xmlns:r="http://schemas.openxmlformats.org/officeDocument/2006/relationships" ref="K4" r:id="rId18"/>
    <hyperlink xmlns:r="http://schemas.openxmlformats.org/officeDocument/2006/relationships" ref="F5" r:id="rId19"/>
    <hyperlink xmlns:r="http://schemas.openxmlformats.org/officeDocument/2006/relationships" ref="G5" r:id="rId20"/>
    <hyperlink xmlns:r="http://schemas.openxmlformats.org/officeDocument/2006/relationships" ref="H5" r:id="rId21"/>
    <hyperlink xmlns:r="http://schemas.openxmlformats.org/officeDocument/2006/relationships" ref="I5" r:id="rId22"/>
    <hyperlink xmlns:r="http://schemas.openxmlformats.org/officeDocument/2006/relationships" ref="J5" r:id="rId23"/>
    <hyperlink xmlns:r="http://schemas.openxmlformats.org/officeDocument/2006/relationships" ref="K5" r:id="rId24"/>
    <hyperlink xmlns:r="http://schemas.openxmlformats.org/officeDocument/2006/relationships" ref="F6" r:id="rId25"/>
    <hyperlink xmlns:r="http://schemas.openxmlformats.org/officeDocument/2006/relationships" ref="G6" r:id="rId26"/>
    <hyperlink xmlns:r="http://schemas.openxmlformats.org/officeDocument/2006/relationships" ref="H6" r:id="rId27"/>
    <hyperlink xmlns:r="http://schemas.openxmlformats.org/officeDocument/2006/relationships" ref="I6" r:id="rId28"/>
    <hyperlink xmlns:r="http://schemas.openxmlformats.org/officeDocument/2006/relationships" ref="J6" r:id="rId29"/>
    <hyperlink xmlns:r="http://schemas.openxmlformats.org/officeDocument/2006/relationships" ref="K6" r:id="rId30"/>
    <hyperlink xmlns:r="http://schemas.openxmlformats.org/officeDocument/2006/relationships" ref="F7" r:id="rId31"/>
    <hyperlink xmlns:r="http://schemas.openxmlformats.org/officeDocument/2006/relationships" ref="G7" r:id="rId32"/>
    <hyperlink xmlns:r="http://schemas.openxmlformats.org/officeDocument/2006/relationships" ref="H7" r:id="rId33"/>
    <hyperlink xmlns:r="http://schemas.openxmlformats.org/officeDocument/2006/relationships" ref="I7" r:id="rId34"/>
    <hyperlink xmlns:r="http://schemas.openxmlformats.org/officeDocument/2006/relationships" ref="J7" r:id="rId35"/>
    <hyperlink xmlns:r="http://schemas.openxmlformats.org/officeDocument/2006/relationships" ref="K7" r:id="rId36"/>
    <hyperlink xmlns:r="http://schemas.openxmlformats.org/officeDocument/2006/relationships" ref="F8" r:id="rId37"/>
    <hyperlink xmlns:r="http://schemas.openxmlformats.org/officeDocument/2006/relationships" ref="G8" r:id="rId38"/>
    <hyperlink xmlns:r="http://schemas.openxmlformats.org/officeDocument/2006/relationships" ref="H8" r:id="rId39"/>
    <hyperlink xmlns:r="http://schemas.openxmlformats.org/officeDocument/2006/relationships" ref="I8" r:id="rId40"/>
    <hyperlink xmlns:r="http://schemas.openxmlformats.org/officeDocument/2006/relationships" ref="J8" r:id="rId41"/>
    <hyperlink xmlns:r="http://schemas.openxmlformats.org/officeDocument/2006/relationships" ref="K8" r:id="rId42"/>
    <hyperlink xmlns:r="http://schemas.openxmlformats.org/officeDocument/2006/relationships" ref="F9" r:id="rId43"/>
    <hyperlink xmlns:r="http://schemas.openxmlformats.org/officeDocument/2006/relationships" ref="G9" r:id="rId44"/>
    <hyperlink xmlns:r="http://schemas.openxmlformats.org/officeDocument/2006/relationships" ref="H9" r:id="rId45"/>
    <hyperlink xmlns:r="http://schemas.openxmlformats.org/officeDocument/2006/relationships" ref="I9" r:id="rId46"/>
    <hyperlink xmlns:r="http://schemas.openxmlformats.org/officeDocument/2006/relationships" ref="J9" r:id="rId47"/>
    <hyperlink xmlns:r="http://schemas.openxmlformats.org/officeDocument/2006/relationships" ref="K9" r:id="rId48"/>
    <hyperlink xmlns:r="http://schemas.openxmlformats.org/officeDocument/2006/relationships" ref="F10" r:id="rId49"/>
    <hyperlink xmlns:r="http://schemas.openxmlformats.org/officeDocument/2006/relationships" ref="G10" r:id="rId50"/>
    <hyperlink xmlns:r="http://schemas.openxmlformats.org/officeDocument/2006/relationships" ref="H10" r:id="rId51"/>
    <hyperlink xmlns:r="http://schemas.openxmlformats.org/officeDocument/2006/relationships" ref="I10" r:id="rId52"/>
    <hyperlink xmlns:r="http://schemas.openxmlformats.org/officeDocument/2006/relationships" ref="J10" r:id="rId53"/>
    <hyperlink xmlns:r="http://schemas.openxmlformats.org/officeDocument/2006/relationships" ref="K10" r:id="rId54"/>
    <hyperlink xmlns:r="http://schemas.openxmlformats.org/officeDocument/2006/relationships" ref="F11" r:id="rId55"/>
    <hyperlink xmlns:r="http://schemas.openxmlformats.org/officeDocument/2006/relationships" ref="G11" r:id="rId56"/>
    <hyperlink xmlns:r="http://schemas.openxmlformats.org/officeDocument/2006/relationships" ref="H11" r:id="rId57"/>
    <hyperlink xmlns:r="http://schemas.openxmlformats.org/officeDocument/2006/relationships" ref="I11" r:id="rId58"/>
    <hyperlink xmlns:r="http://schemas.openxmlformats.org/officeDocument/2006/relationships" ref="J11" r:id="rId59"/>
    <hyperlink xmlns:r="http://schemas.openxmlformats.org/officeDocument/2006/relationships" ref="K11" r:id="rId60"/>
    <hyperlink xmlns:r="http://schemas.openxmlformats.org/officeDocument/2006/relationships" ref="F12" r:id="rId61"/>
    <hyperlink xmlns:r="http://schemas.openxmlformats.org/officeDocument/2006/relationships" ref="G12" r:id="rId62"/>
    <hyperlink xmlns:r="http://schemas.openxmlformats.org/officeDocument/2006/relationships" ref="H12" r:id="rId63"/>
    <hyperlink xmlns:r="http://schemas.openxmlformats.org/officeDocument/2006/relationships" ref="I12" r:id="rId64"/>
    <hyperlink xmlns:r="http://schemas.openxmlformats.org/officeDocument/2006/relationships" ref="J12" r:id="rId65"/>
    <hyperlink xmlns:r="http://schemas.openxmlformats.org/officeDocument/2006/relationships" ref="K12" r:id="rId66"/>
    <hyperlink xmlns:r="http://schemas.openxmlformats.org/officeDocument/2006/relationships" ref="F13" r:id="rId67"/>
    <hyperlink xmlns:r="http://schemas.openxmlformats.org/officeDocument/2006/relationships" ref="G13" r:id="rId68"/>
    <hyperlink xmlns:r="http://schemas.openxmlformats.org/officeDocument/2006/relationships" ref="H13" r:id="rId69"/>
    <hyperlink xmlns:r="http://schemas.openxmlformats.org/officeDocument/2006/relationships" ref="I13" r:id="rId70"/>
    <hyperlink xmlns:r="http://schemas.openxmlformats.org/officeDocument/2006/relationships" ref="J13" r:id="rId71"/>
    <hyperlink xmlns:r="http://schemas.openxmlformats.org/officeDocument/2006/relationships" ref="K13" r:id="rId72"/>
    <hyperlink xmlns:r="http://schemas.openxmlformats.org/officeDocument/2006/relationships" ref="F14" r:id="rId73"/>
    <hyperlink xmlns:r="http://schemas.openxmlformats.org/officeDocument/2006/relationships" ref="G14" r:id="rId74"/>
    <hyperlink xmlns:r="http://schemas.openxmlformats.org/officeDocument/2006/relationships" ref="H14" r:id="rId75"/>
    <hyperlink xmlns:r="http://schemas.openxmlformats.org/officeDocument/2006/relationships" ref="I14" r:id="rId76"/>
    <hyperlink xmlns:r="http://schemas.openxmlformats.org/officeDocument/2006/relationships" ref="J14" r:id="rId77"/>
    <hyperlink xmlns:r="http://schemas.openxmlformats.org/officeDocument/2006/relationships" ref="K14" r:id="rId78"/>
    <hyperlink xmlns:r="http://schemas.openxmlformats.org/officeDocument/2006/relationships" ref="F15" r:id="rId79"/>
    <hyperlink xmlns:r="http://schemas.openxmlformats.org/officeDocument/2006/relationships" ref="G15" r:id="rId80"/>
    <hyperlink xmlns:r="http://schemas.openxmlformats.org/officeDocument/2006/relationships" ref="H15" r:id="rId81"/>
    <hyperlink xmlns:r="http://schemas.openxmlformats.org/officeDocument/2006/relationships" ref="I15" r:id="rId82"/>
    <hyperlink xmlns:r="http://schemas.openxmlformats.org/officeDocument/2006/relationships" ref="J15" r:id="rId83"/>
    <hyperlink xmlns:r="http://schemas.openxmlformats.org/officeDocument/2006/relationships" ref="K15" r:id="rId84"/>
    <hyperlink xmlns:r="http://schemas.openxmlformats.org/officeDocument/2006/relationships" ref="F16" r:id="rId85"/>
    <hyperlink xmlns:r="http://schemas.openxmlformats.org/officeDocument/2006/relationships" ref="G16" r:id="rId86"/>
    <hyperlink xmlns:r="http://schemas.openxmlformats.org/officeDocument/2006/relationships" ref="H16" r:id="rId87"/>
    <hyperlink xmlns:r="http://schemas.openxmlformats.org/officeDocument/2006/relationships" ref="I16" r:id="rId88"/>
    <hyperlink xmlns:r="http://schemas.openxmlformats.org/officeDocument/2006/relationships" ref="J16" r:id="rId89"/>
    <hyperlink xmlns:r="http://schemas.openxmlformats.org/officeDocument/2006/relationships" ref="K16" r:id="rId90"/>
    <hyperlink xmlns:r="http://schemas.openxmlformats.org/officeDocument/2006/relationships" ref="F17" r:id="rId91"/>
    <hyperlink xmlns:r="http://schemas.openxmlformats.org/officeDocument/2006/relationships" ref="G17" r:id="rId92"/>
    <hyperlink xmlns:r="http://schemas.openxmlformats.org/officeDocument/2006/relationships" ref="H17" r:id="rId93"/>
    <hyperlink xmlns:r="http://schemas.openxmlformats.org/officeDocument/2006/relationships" ref="I17" r:id="rId94"/>
    <hyperlink xmlns:r="http://schemas.openxmlformats.org/officeDocument/2006/relationships" ref="J17" r:id="rId95"/>
    <hyperlink xmlns:r="http://schemas.openxmlformats.org/officeDocument/2006/relationships" ref="K17" r:id="rId96"/>
    <hyperlink xmlns:r="http://schemas.openxmlformats.org/officeDocument/2006/relationships" ref="F18" r:id="rId97"/>
    <hyperlink xmlns:r="http://schemas.openxmlformats.org/officeDocument/2006/relationships" ref="G18" r:id="rId98"/>
    <hyperlink xmlns:r="http://schemas.openxmlformats.org/officeDocument/2006/relationships" ref="H18" r:id="rId99"/>
    <hyperlink xmlns:r="http://schemas.openxmlformats.org/officeDocument/2006/relationships" ref="I18" r:id="rId100"/>
    <hyperlink xmlns:r="http://schemas.openxmlformats.org/officeDocument/2006/relationships" ref="J18" r:id="rId101"/>
    <hyperlink xmlns:r="http://schemas.openxmlformats.org/officeDocument/2006/relationships" ref="K18" r:id="rId102"/>
    <hyperlink xmlns:r="http://schemas.openxmlformats.org/officeDocument/2006/relationships" ref="F19" r:id="rId103"/>
    <hyperlink xmlns:r="http://schemas.openxmlformats.org/officeDocument/2006/relationships" ref="G19" r:id="rId104"/>
    <hyperlink xmlns:r="http://schemas.openxmlformats.org/officeDocument/2006/relationships" ref="H19" r:id="rId105"/>
    <hyperlink xmlns:r="http://schemas.openxmlformats.org/officeDocument/2006/relationships" ref="I19" r:id="rId106"/>
    <hyperlink xmlns:r="http://schemas.openxmlformats.org/officeDocument/2006/relationships" ref="J19" r:id="rId107"/>
    <hyperlink xmlns:r="http://schemas.openxmlformats.org/officeDocument/2006/relationships" ref="K19" r:id="rId108"/>
    <hyperlink xmlns:r="http://schemas.openxmlformats.org/officeDocument/2006/relationships" ref="F20" r:id="rId109"/>
    <hyperlink xmlns:r="http://schemas.openxmlformats.org/officeDocument/2006/relationships" ref="G20" r:id="rId110"/>
    <hyperlink xmlns:r="http://schemas.openxmlformats.org/officeDocument/2006/relationships" ref="H20" r:id="rId111"/>
    <hyperlink xmlns:r="http://schemas.openxmlformats.org/officeDocument/2006/relationships" ref="I20" r:id="rId112"/>
    <hyperlink xmlns:r="http://schemas.openxmlformats.org/officeDocument/2006/relationships" ref="J20" r:id="rId113"/>
    <hyperlink xmlns:r="http://schemas.openxmlformats.org/officeDocument/2006/relationships" ref="K20" r:id="rId114"/>
    <hyperlink xmlns:r="http://schemas.openxmlformats.org/officeDocument/2006/relationships" ref="F21" r:id="rId115"/>
    <hyperlink xmlns:r="http://schemas.openxmlformats.org/officeDocument/2006/relationships" ref="G21" r:id="rId116"/>
    <hyperlink xmlns:r="http://schemas.openxmlformats.org/officeDocument/2006/relationships" ref="H21" r:id="rId117"/>
    <hyperlink xmlns:r="http://schemas.openxmlformats.org/officeDocument/2006/relationships" ref="I21" r:id="rId118"/>
    <hyperlink xmlns:r="http://schemas.openxmlformats.org/officeDocument/2006/relationships" ref="J21" r:id="rId119"/>
    <hyperlink xmlns:r="http://schemas.openxmlformats.org/officeDocument/2006/relationships" ref="K21" r:id="rId120"/>
    <hyperlink xmlns:r="http://schemas.openxmlformats.org/officeDocument/2006/relationships" ref="F22" r:id="rId121"/>
    <hyperlink xmlns:r="http://schemas.openxmlformats.org/officeDocument/2006/relationships" ref="G22" r:id="rId122"/>
    <hyperlink xmlns:r="http://schemas.openxmlformats.org/officeDocument/2006/relationships" ref="H22" r:id="rId123"/>
    <hyperlink xmlns:r="http://schemas.openxmlformats.org/officeDocument/2006/relationships" ref="I22" r:id="rId124"/>
    <hyperlink xmlns:r="http://schemas.openxmlformats.org/officeDocument/2006/relationships" ref="J22" r:id="rId125"/>
    <hyperlink xmlns:r="http://schemas.openxmlformats.org/officeDocument/2006/relationships" ref="K22" r:id="rId126"/>
    <hyperlink xmlns:r="http://schemas.openxmlformats.org/officeDocument/2006/relationships" ref="F23" r:id="rId127"/>
    <hyperlink xmlns:r="http://schemas.openxmlformats.org/officeDocument/2006/relationships" ref="G23" r:id="rId128"/>
    <hyperlink xmlns:r="http://schemas.openxmlformats.org/officeDocument/2006/relationships" ref="H23" r:id="rId129"/>
    <hyperlink xmlns:r="http://schemas.openxmlformats.org/officeDocument/2006/relationships" ref="I23" r:id="rId130"/>
    <hyperlink xmlns:r="http://schemas.openxmlformats.org/officeDocument/2006/relationships" ref="J23" r:id="rId131"/>
    <hyperlink xmlns:r="http://schemas.openxmlformats.org/officeDocument/2006/relationships" ref="K23" r:id="rId13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53" customWidth="1" min="3" max="3"/>
    <col width="9" customWidth="1" min="4" max="4"/>
    <col width="54" customWidth="1" min="5" max="5"/>
  </cols>
  <sheetData>
    <row r="1">
      <c r="A1" s="1" t="inlineStr">
        <is>
          <t>分類</t>
        </is>
      </c>
      <c r="B1" s="1" t="inlineStr">
        <is>
          <t>相對路徑</t>
        </is>
      </c>
      <c r="C1" s="1" t="inlineStr">
        <is>
          <t>檔名</t>
        </is>
      </c>
      <c r="D1" s="1" t="inlineStr">
        <is>
          <t>狀態</t>
        </is>
      </c>
      <c r="E1" s="1" t="inlineStr">
        <is>
          <t>連結</t>
        </is>
      </c>
    </row>
    <row r="2">
      <c r="A2" s="5" t="inlineStr">
        <is>
          <t>①根目錄入口頁</t>
        </is>
      </c>
      <c r="B2" s="5" t="inlineStr">
        <is>
          <t>index.html</t>
        </is>
      </c>
      <c r="C2" s="5" t="inlineStr">
        <is>
          <t>index.html</t>
        </is>
      </c>
      <c r="D2" s="5" t="inlineStr">
        <is>
          <t>已存在</t>
        </is>
      </c>
      <c r="E2" s="5" t="inlineStr">
        <is>
          <t>index.html</t>
        </is>
      </c>
    </row>
    <row r="3">
      <c r="A3" s="5" t="inlineStr">
        <is>
          <t>①根目錄入口頁</t>
        </is>
      </c>
      <c r="B3" s="5" t="inlineStr">
        <is>
          <t>toc.html</t>
        </is>
      </c>
      <c r="C3" s="5" t="inlineStr">
        <is>
          <t>toc.html</t>
        </is>
      </c>
      <c r="D3" s="5" t="inlineStr">
        <is>
          <t>已存在</t>
        </is>
      </c>
      <c r="E3" s="5" t="inlineStr">
        <is>
          <t>toc.html</t>
        </is>
      </c>
    </row>
    <row r="4">
      <c r="A4" s="5" t="inlineStr">
        <is>
          <t>①根目錄入口頁</t>
        </is>
      </c>
      <c r="B4" s="5" t="inlineStr">
        <is>
          <t>台灣22縣市重劃區_整合導覽入口.html</t>
        </is>
      </c>
      <c r="C4" s="5" t="inlineStr">
        <is>
          <t>台灣22縣市重劃區_整合導覽入口.html</t>
        </is>
      </c>
      <c r="D4" s="5" t="inlineStr">
        <is>
          <t>已存在</t>
        </is>
      </c>
      <c r="E4" s="5" t="inlineStr">
        <is>
          <t>台灣22縣市重劃區_整合導覽入口.html</t>
        </is>
      </c>
    </row>
    <row r="5">
      <c r="A5" s="5" t="inlineStr">
        <is>
          <t>①根目錄入口頁</t>
        </is>
      </c>
      <c r="B5" s="5" t="inlineStr">
        <is>
          <t>台灣22縣市重劃區總目錄-.html</t>
        </is>
      </c>
      <c r="C5" s="5" t="inlineStr">
        <is>
          <t>台灣22縣市重劃區總目錄-.html</t>
        </is>
      </c>
      <c r="D5" s="5" t="inlineStr">
        <is>
          <t>已存在</t>
        </is>
      </c>
      <c r="E5" s="5" t="inlineStr">
        <is>
          <t>台灣22縣市重劃區總目錄-.html</t>
        </is>
      </c>
    </row>
    <row r="6">
      <c r="A6" s="5" t="inlineStr">
        <is>
          <t>①根目錄入口頁</t>
        </is>
      </c>
      <c r="B6" s="5" t="inlineStr">
        <is>
          <t>台灣22縣市重劃區總目錄.html</t>
        </is>
      </c>
      <c r="C6" s="5" t="inlineStr">
        <is>
          <t>台灣22縣市重劃區總目錄.html</t>
        </is>
      </c>
      <c r="D6" s="5" t="inlineStr">
        <is>
          <t>已存在</t>
        </is>
      </c>
      <c r="E6" s="5" t="inlineStr">
        <is>
          <t>台灣22縣市重劃區總目錄.html</t>
        </is>
      </c>
    </row>
    <row r="7">
      <c r="A7" s="5" t="inlineStr">
        <is>
          <t>①根目錄入口頁</t>
        </is>
      </c>
      <c r="B7" s="5" t="inlineStr">
        <is>
          <t>臺中市重劃區全目錄-.html</t>
        </is>
      </c>
      <c r="C7" s="5" t="inlineStr">
        <is>
          <t>臺中市重劃區全目錄-.html</t>
        </is>
      </c>
      <c r="D7" s="5" t="inlineStr">
        <is>
          <t>已存在</t>
        </is>
      </c>
      <c r="E7" s="5" t="inlineStr">
        <is>
          <t>臺中市重劃區全目錄-.html</t>
        </is>
      </c>
    </row>
    <row r="8">
      <c r="A8" s="5" t="inlineStr">
        <is>
          <t>①根目錄入口頁</t>
        </is>
      </c>
      <c r="B8" s="5" t="inlineStr">
        <is>
          <t>臺中市重劃區全目錄.html</t>
        </is>
      </c>
      <c r="C8" s="5" t="inlineStr">
        <is>
          <t>臺中市重劃區全目錄.html</t>
        </is>
      </c>
      <c r="D8" s="5" t="inlineStr">
        <is>
          <t>已存在</t>
        </is>
      </c>
      <c r="E8" s="5" t="inlineStr">
        <is>
          <t>臺中市重劃區全目錄.html</t>
        </is>
      </c>
    </row>
    <row r="9">
      <c r="A9" s="5" t="inlineStr">
        <is>
          <t>①根目錄入口頁</t>
        </is>
      </c>
      <c r="B9" s="5" t="inlineStr">
        <is>
          <t>臺中市重劃區買房實戰指南-.html</t>
        </is>
      </c>
      <c r="C9" s="5" t="inlineStr">
        <is>
          <t>臺中市重劃區買房實戰指南-.html</t>
        </is>
      </c>
      <c r="D9" s="5" t="inlineStr">
        <is>
          <t>已存在</t>
        </is>
      </c>
      <c r="E9" s="5" t="inlineStr">
        <is>
          <t>臺中市重劃區買房實戰指南-.html</t>
        </is>
      </c>
    </row>
    <row r="10">
      <c r="A10" s="5" t="inlineStr">
        <is>
          <t>①根目錄入口頁</t>
        </is>
      </c>
      <c r="B10" s="5" t="inlineStr">
        <is>
          <t>臺中市重劃區買房實戰指南.html</t>
        </is>
      </c>
      <c r="C10" s="5" t="inlineStr">
        <is>
          <t>臺中市重劃區買房實戰指南.html</t>
        </is>
      </c>
      <c r="D10" s="5" t="inlineStr">
        <is>
          <t>已存在</t>
        </is>
      </c>
      <c r="E10" s="5" t="inlineStr">
        <is>
          <t>臺中市重劃區買房實戰指南.html</t>
        </is>
      </c>
    </row>
    <row r="11">
      <c r="A11" s="5" t="inlineStr">
        <is>
          <t>②縣市內頁</t>
        </is>
      </c>
      <c r="B11" s="5" t="inlineStr">
        <is>
          <t>taipei/index.html</t>
        </is>
      </c>
      <c r="C11" s="5" t="inlineStr">
        <is>
          <t>index.html</t>
        </is>
      </c>
      <c r="D11" s="5" t="inlineStr">
        <is>
          <t>已存在</t>
        </is>
      </c>
      <c r="E11" s="5" t="inlineStr">
        <is>
          <t>taipei/index.html</t>
        </is>
      </c>
    </row>
    <row r="12">
      <c r="A12" s="5" t="inlineStr">
        <is>
          <t>②縣市內頁</t>
        </is>
      </c>
      <c r="B12" s="5" t="inlineStr">
        <is>
          <t>taipei/public-urban-land-readjustment.html</t>
        </is>
      </c>
      <c r="C12" s="5" t="inlineStr">
        <is>
          <t>public-urban-land-readjustment.html</t>
        </is>
      </c>
      <c r="D12" s="5" t="inlineStr">
        <is>
          <t>已存在</t>
        </is>
      </c>
      <c r="E12" s="5" t="inlineStr">
        <is>
          <t>taipei/public-urban-land-readjustment.html</t>
        </is>
      </c>
    </row>
    <row r="13">
      <c r="A13" s="5" t="inlineStr">
        <is>
          <t>②縣市內頁</t>
        </is>
      </c>
      <c r="B13" s="5" t="inlineStr">
        <is>
          <t>taipei/private-urban-land-readjustment.html</t>
        </is>
      </c>
      <c r="C13" s="5" t="inlineStr">
        <is>
          <t>private-urban-land-readjustment.html</t>
        </is>
      </c>
      <c r="D13" s="5" t="inlineStr">
        <is>
          <t>已存在</t>
        </is>
      </c>
      <c r="E13" s="5" t="inlineStr">
        <is>
          <t>taipei/private-urban-land-readjustment.html</t>
        </is>
      </c>
    </row>
    <row r="14">
      <c r="A14" s="5" t="inlineStr">
        <is>
          <t>②縣市內頁</t>
        </is>
      </c>
      <c r="B14" s="5" t="inlineStr">
        <is>
          <t>taipei/zone-expropriation.html</t>
        </is>
      </c>
      <c r="C14" s="5" t="inlineStr">
        <is>
          <t>zone-expropriation.html</t>
        </is>
      </c>
      <c r="D14" s="5" t="inlineStr">
        <is>
          <t>已存在</t>
        </is>
      </c>
      <c r="E14" s="5" t="inlineStr">
        <is>
          <t>taipei/zone-expropriation.html</t>
        </is>
      </c>
    </row>
    <row r="15">
      <c r="A15" s="5" t="inlineStr">
        <is>
          <t>②縣市內頁</t>
        </is>
      </c>
      <c r="B15" s="5" t="inlineStr">
        <is>
          <t>taipei/urban-renewal.html</t>
        </is>
      </c>
      <c r="C15" s="5" t="inlineStr">
        <is>
          <t>urban-renewal.html</t>
        </is>
      </c>
      <c r="D15" s="5" t="inlineStr">
        <is>
          <t>已存在</t>
        </is>
      </c>
      <c r="E15" s="5" t="inlineStr">
        <is>
          <t>taipei/urban-renewal.html</t>
        </is>
      </c>
    </row>
    <row r="16">
      <c r="A16" s="5" t="inlineStr">
        <is>
          <t>②縣市內頁</t>
        </is>
      </c>
      <c r="B16" s="5" t="inlineStr">
        <is>
          <t>new-taipei/index.html</t>
        </is>
      </c>
      <c r="C16" s="5" t="inlineStr">
        <is>
          <t>index.html</t>
        </is>
      </c>
      <c r="D16" s="5" t="inlineStr">
        <is>
          <t>已存在</t>
        </is>
      </c>
      <c r="E16" s="5" t="inlineStr">
        <is>
          <t>new-taipei/index.html</t>
        </is>
      </c>
    </row>
    <row r="17">
      <c r="A17" s="5" t="inlineStr">
        <is>
          <t>②縣市內頁</t>
        </is>
      </c>
      <c r="B17" s="5" t="inlineStr">
        <is>
          <t>new-taipei/public-urban-land-readjustment.html</t>
        </is>
      </c>
      <c r="C17" s="5" t="inlineStr">
        <is>
          <t>public-urban-land-readjustment.html</t>
        </is>
      </c>
      <c r="D17" s="5" t="inlineStr">
        <is>
          <t>已存在</t>
        </is>
      </c>
      <c r="E17" s="5" t="inlineStr">
        <is>
          <t>new-taipei/public-urban-land-readjustment.html</t>
        </is>
      </c>
    </row>
    <row r="18">
      <c r="A18" s="5" t="inlineStr">
        <is>
          <t>②縣市內頁</t>
        </is>
      </c>
      <c r="B18" s="5" t="inlineStr">
        <is>
          <t>new-taipei/private-urban-land-readjustment.html</t>
        </is>
      </c>
      <c r="C18" s="5" t="inlineStr">
        <is>
          <t>private-urban-land-readjustment.html</t>
        </is>
      </c>
      <c r="D18" s="5" t="inlineStr">
        <is>
          <t>已存在</t>
        </is>
      </c>
      <c r="E18" s="5" t="inlineStr">
        <is>
          <t>new-taipei/private-urban-land-readjustment.html</t>
        </is>
      </c>
    </row>
    <row r="19">
      <c r="A19" s="5" t="inlineStr">
        <is>
          <t>②縣市內頁</t>
        </is>
      </c>
      <c r="B19" s="5" t="inlineStr">
        <is>
          <t>new-taipei/zone-expropriation.html</t>
        </is>
      </c>
      <c r="C19" s="5" t="inlineStr">
        <is>
          <t>zone-expropriation.html</t>
        </is>
      </c>
      <c r="D19" s="5" t="inlineStr">
        <is>
          <t>已存在</t>
        </is>
      </c>
      <c r="E19" s="5" t="inlineStr">
        <is>
          <t>new-taipei/zone-expropriation.html</t>
        </is>
      </c>
    </row>
    <row r="20">
      <c r="A20" s="5" t="inlineStr">
        <is>
          <t>②縣市內頁</t>
        </is>
      </c>
      <c r="B20" s="5" t="inlineStr">
        <is>
          <t>new-taipei/urban-renewal.html</t>
        </is>
      </c>
      <c r="C20" s="5" t="inlineStr">
        <is>
          <t>urban-renewal.html</t>
        </is>
      </c>
      <c r="D20" s="5" t="inlineStr">
        <is>
          <t>已存在</t>
        </is>
      </c>
      <c r="E20" s="5" t="inlineStr">
        <is>
          <t>new-taipei/urban-renewal.html</t>
        </is>
      </c>
    </row>
    <row r="21">
      <c r="A21" s="5" t="inlineStr">
        <is>
          <t>②縣市內頁</t>
        </is>
      </c>
      <c r="B21" s="5" t="inlineStr">
        <is>
          <t>taoyuan/index.html</t>
        </is>
      </c>
      <c r="C21" s="5" t="inlineStr">
        <is>
          <t>index.html</t>
        </is>
      </c>
      <c r="D21" s="5" t="inlineStr">
        <is>
          <t>已存在</t>
        </is>
      </c>
      <c r="E21" s="5" t="inlineStr">
        <is>
          <t>taoyuan/index.html</t>
        </is>
      </c>
    </row>
    <row r="22">
      <c r="A22" s="5" t="inlineStr">
        <is>
          <t>②縣市內頁</t>
        </is>
      </c>
      <c r="B22" s="5" t="inlineStr">
        <is>
          <t>taoyuan/public-urban-land-readjustment.html</t>
        </is>
      </c>
      <c r="C22" s="5" t="inlineStr">
        <is>
          <t>public-urban-land-readjustment.html</t>
        </is>
      </c>
      <c r="D22" s="5" t="inlineStr">
        <is>
          <t>已存在</t>
        </is>
      </c>
      <c r="E22" s="5" t="inlineStr">
        <is>
          <t>taoyuan/public-urban-land-readjustment.html</t>
        </is>
      </c>
    </row>
    <row r="23">
      <c r="A23" s="5" t="inlineStr">
        <is>
          <t>②縣市內頁</t>
        </is>
      </c>
      <c r="B23" s="5" t="inlineStr">
        <is>
          <t>taoyuan/private-urban-land-readjustment.html</t>
        </is>
      </c>
      <c r="C23" s="5" t="inlineStr">
        <is>
          <t>private-urban-land-readjustment.html</t>
        </is>
      </c>
      <c r="D23" s="5" t="inlineStr">
        <is>
          <t>已存在</t>
        </is>
      </c>
      <c r="E23" s="5" t="inlineStr">
        <is>
          <t>taoyuan/private-urban-land-readjustment.html</t>
        </is>
      </c>
    </row>
    <row r="24">
      <c r="A24" s="5" t="inlineStr">
        <is>
          <t>②縣市內頁</t>
        </is>
      </c>
      <c r="B24" s="5" t="inlineStr">
        <is>
          <t>taoyuan/zone-expropriation.html</t>
        </is>
      </c>
      <c r="C24" s="5" t="inlineStr">
        <is>
          <t>zone-expropriation.html</t>
        </is>
      </c>
      <c r="D24" s="5" t="inlineStr">
        <is>
          <t>已存在</t>
        </is>
      </c>
      <c r="E24" s="5" t="inlineStr">
        <is>
          <t>taoyuan/zone-expropriation.html</t>
        </is>
      </c>
    </row>
    <row r="25">
      <c r="A25" s="5" t="inlineStr">
        <is>
          <t>②縣市內頁</t>
        </is>
      </c>
      <c r="B25" s="5" t="inlineStr">
        <is>
          <t>taoyuan/urban-renewal.html</t>
        </is>
      </c>
      <c r="C25" s="5" t="inlineStr">
        <is>
          <t>urban-renewal.html</t>
        </is>
      </c>
      <c r="D25" s="5" t="inlineStr">
        <is>
          <t>已存在</t>
        </is>
      </c>
      <c r="E25" s="5" t="inlineStr">
        <is>
          <t>taoyuan/urban-renewal.html</t>
        </is>
      </c>
    </row>
    <row r="26">
      <c r="A26" s="5" t="inlineStr">
        <is>
          <t>②縣市內頁</t>
        </is>
      </c>
      <c r="B26" s="5" t="inlineStr">
        <is>
          <t>taichung/index.html</t>
        </is>
      </c>
      <c r="C26" s="5" t="inlineStr">
        <is>
          <t>index.html</t>
        </is>
      </c>
      <c r="D26" s="5" t="inlineStr">
        <is>
          <t>已存在</t>
        </is>
      </c>
      <c r="E26" s="5" t="inlineStr">
        <is>
          <t>taichung/index.html</t>
        </is>
      </c>
    </row>
    <row r="27">
      <c r="A27" s="5" t="inlineStr">
        <is>
          <t>②縣市內頁</t>
        </is>
      </c>
      <c r="B27" s="5" t="inlineStr">
        <is>
          <t>taichung/public-urban-land-readjustment.html</t>
        </is>
      </c>
      <c r="C27" s="5" t="inlineStr">
        <is>
          <t>public-urban-land-readjustment.html</t>
        </is>
      </c>
      <c r="D27" s="5" t="inlineStr">
        <is>
          <t>已存在</t>
        </is>
      </c>
      <c r="E27" s="5" t="inlineStr">
        <is>
          <t>taichung/public-urban-land-readjustment.html</t>
        </is>
      </c>
    </row>
    <row r="28">
      <c r="A28" s="5" t="inlineStr">
        <is>
          <t>②縣市內頁</t>
        </is>
      </c>
      <c r="B28" s="5" t="inlineStr">
        <is>
          <t>taichung/private-urban-land-readjustment.html</t>
        </is>
      </c>
      <c r="C28" s="5" t="inlineStr">
        <is>
          <t>private-urban-land-readjustment.html</t>
        </is>
      </c>
      <c r="D28" s="5" t="inlineStr">
        <is>
          <t>已存在</t>
        </is>
      </c>
      <c r="E28" s="5" t="inlineStr">
        <is>
          <t>taichung/private-urban-land-readjustment.html</t>
        </is>
      </c>
    </row>
    <row r="29">
      <c r="A29" s="5" t="inlineStr">
        <is>
          <t>②縣市內頁</t>
        </is>
      </c>
      <c r="B29" s="5" t="inlineStr">
        <is>
          <t>taichung/zone-expropriation.html</t>
        </is>
      </c>
      <c r="C29" s="5" t="inlineStr">
        <is>
          <t>zone-expropriation.html</t>
        </is>
      </c>
      <c r="D29" s="5" t="inlineStr">
        <is>
          <t>已存在</t>
        </is>
      </c>
      <c r="E29" s="5" t="inlineStr">
        <is>
          <t>taichung/zone-expropriation.html</t>
        </is>
      </c>
    </row>
    <row r="30">
      <c r="A30" s="5" t="inlineStr">
        <is>
          <t>②縣市內頁</t>
        </is>
      </c>
      <c r="B30" s="5" t="inlineStr">
        <is>
          <t>taichung/urban-renewal.html</t>
        </is>
      </c>
      <c r="C30" s="5" t="inlineStr">
        <is>
          <t>urban-renewal.html</t>
        </is>
      </c>
      <c r="D30" s="5" t="inlineStr">
        <is>
          <t>已存在</t>
        </is>
      </c>
      <c r="E30" s="5" t="inlineStr">
        <is>
          <t>taichung/urban-renewal.html</t>
        </is>
      </c>
    </row>
    <row r="31">
      <c r="A31" s="5" t="inlineStr">
        <is>
          <t>②縣市內頁</t>
        </is>
      </c>
      <c r="B31" s="5" t="inlineStr">
        <is>
          <t>tainan/index.html</t>
        </is>
      </c>
      <c r="C31" s="5" t="inlineStr">
        <is>
          <t>index.html</t>
        </is>
      </c>
      <c r="D31" s="5" t="inlineStr">
        <is>
          <t>已存在</t>
        </is>
      </c>
      <c r="E31" s="5" t="inlineStr">
        <is>
          <t>tainan/index.html</t>
        </is>
      </c>
    </row>
    <row r="32">
      <c r="A32" s="5" t="inlineStr">
        <is>
          <t>②縣市內頁</t>
        </is>
      </c>
      <c r="B32" s="5" t="inlineStr">
        <is>
          <t>tainan/public-urban-land-readjustment.html</t>
        </is>
      </c>
      <c r="C32" s="5" t="inlineStr">
        <is>
          <t>public-urban-land-readjustment.html</t>
        </is>
      </c>
      <c r="D32" s="5" t="inlineStr">
        <is>
          <t>已存在</t>
        </is>
      </c>
      <c r="E32" s="5" t="inlineStr">
        <is>
          <t>tainan/public-urban-land-readjustment.html</t>
        </is>
      </c>
    </row>
    <row r="33">
      <c r="A33" s="5" t="inlineStr">
        <is>
          <t>②縣市內頁</t>
        </is>
      </c>
      <c r="B33" s="5" t="inlineStr">
        <is>
          <t>tainan/private-urban-land-readjustment.html</t>
        </is>
      </c>
      <c r="C33" s="5" t="inlineStr">
        <is>
          <t>private-urban-land-readjustment.html</t>
        </is>
      </c>
      <c r="D33" s="5" t="inlineStr">
        <is>
          <t>已存在</t>
        </is>
      </c>
      <c r="E33" s="5" t="inlineStr">
        <is>
          <t>tainan/private-urban-land-readjustment.html</t>
        </is>
      </c>
    </row>
    <row r="34">
      <c r="A34" s="5" t="inlineStr">
        <is>
          <t>②縣市內頁</t>
        </is>
      </c>
      <c r="B34" s="5" t="inlineStr">
        <is>
          <t>tainan/zone-expropriation.html</t>
        </is>
      </c>
      <c r="C34" s="5" t="inlineStr">
        <is>
          <t>zone-expropriation.html</t>
        </is>
      </c>
      <c r="D34" s="5" t="inlineStr">
        <is>
          <t>已存在</t>
        </is>
      </c>
      <c r="E34" s="5" t="inlineStr">
        <is>
          <t>tainan/zone-expropriation.html</t>
        </is>
      </c>
    </row>
    <row r="35">
      <c r="A35" s="5" t="inlineStr">
        <is>
          <t>②縣市內頁</t>
        </is>
      </c>
      <c r="B35" s="5" t="inlineStr">
        <is>
          <t>tainan/urban-renewal.html</t>
        </is>
      </c>
      <c r="C35" s="5" t="inlineStr">
        <is>
          <t>urban-renewal.html</t>
        </is>
      </c>
      <c r="D35" s="5" t="inlineStr">
        <is>
          <t>已存在</t>
        </is>
      </c>
      <c r="E35" s="5" t="inlineStr">
        <is>
          <t>tainan/urban-renewal.html</t>
        </is>
      </c>
    </row>
    <row r="36">
      <c r="A36" s="5" t="inlineStr">
        <is>
          <t>②縣市內頁</t>
        </is>
      </c>
      <c r="B36" s="5" t="inlineStr">
        <is>
          <t>kaohsiung/index.html</t>
        </is>
      </c>
      <c r="C36" s="5" t="inlineStr">
        <is>
          <t>index.html</t>
        </is>
      </c>
      <c r="D36" s="5" t="inlineStr">
        <is>
          <t>已存在</t>
        </is>
      </c>
      <c r="E36" s="5" t="inlineStr">
        <is>
          <t>kaohsiung/index.html</t>
        </is>
      </c>
    </row>
    <row r="37">
      <c r="A37" s="5" t="inlineStr">
        <is>
          <t>②縣市內頁</t>
        </is>
      </c>
      <c r="B37" s="5" t="inlineStr">
        <is>
          <t>kaohsiung/public-urban-land-readjustment.html</t>
        </is>
      </c>
      <c r="C37" s="5" t="inlineStr">
        <is>
          <t>public-urban-land-readjustment.html</t>
        </is>
      </c>
      <c r="D37" s="5" t="inlineStr">
        <is>
          <t>已存在</t>
        </is>
      </c>
      <c r="E37" s="5" t="inlineStr">
        <is>
          <t>kaohsiung/public-urban-land-readjustment.html</t>
        </is>
      </c>
    </row>
    <row r="38">
      <c r="A38" s="5" t="inlineStr">
        <is>
          <t>②縣市內頁</t>
        </is>
      </c>
      <c r="B38" s="5" t="inlineStr">
        <is>
          <t>kaohsiung/private-urban-land-readjustment.html</t>
        </is>
      </c>
      <c r="C38" s="5" t="inlineStr">
        <is>
          <t>private-urban-land-readjustment.html</t>
        </is>
      </c>
      <c r="D38" s="5" t="inlineStr">
        <is>
          <t>已存在</t>
        </is>
      </c>
      <c r="E38" s="5" t="inlineStr">
        <is>
          <t>kaohsiung/private-urban-land-readjustment.html</t>
        </is>
      </c>
    </row>
    <row r="39">
      <c r="A39" s="5" t="inlineStr">
        <is>
          <t>②縣市內頁</t>
        </is>
      </c>
      <c r="B39" s="5" t="inlineStr">
        <is>
          <t>kaohsiung/zone-expropriation.html</t>
        </is>
      </c>
      <c r="C39" s="5" t="inlineStr">
        <is>
          <t>zone-expropriation.html</t>
        </is>
      </c>
      <c r="D39" s="5" t="inlineStr">
        <is>
          <t>已存在</t>
        </is>
      </c>
      <c r="E39" s="5" t="inlineStr">
        <is>
          <t>kaohsiung/zone-expropriation.html</t>
        </is>
      </c>
    </row>
    <row r="40">
      <c r="A40" s="5" t="inlineStr">
        <is>
          <t>②縣市內頁</t>
        </is>
      </c>
      <c r="B40" s="5" t="inlineStr">
        <is>
          <t>kaohsiung/urban-renewal.html</t>
        </is>
      </c>
      <c r="C40" s="5" t="inlineStr">
        <is>
          <t>urban-renewal.html</t>
        </is>
      </c>
      <c r="D40" s="5" t="inlineStr">
        <is>
          <t>已存在</t>
        </is>
      </c>
      <c r="E40" s="5" t="inlineStr">
        <is>
          <t>kaohsiung/urban-renewal.html</t>
        </is>
      </c>
    </row>
    <row r="41">
      <c r="A41" s="5" t="inlineStr">
        <is>
          <t>②縣市內頁</t>
        </is>
      </c>
      <c r="B41" s="5" t="inlineStr">
        <is>
          <t>keelung/index.html</t>
        </is>
      </c>
      <c r="C41" s="5" t="inlineStr">
        <is>
          <t>index.html</t>
        </is>
      </c>
      <c r="D41" s="5" t="inlineStr">
        <is>
          <t>已存在</t>
        </is>
      </c>
      <c r="E41" s="5" t="inlineStr">
        <is>
          <t>keelung/index.html</t>
        </is>
      </c>
    </row>
    <row r="42">
      <c r="A42" s="5" t="inlineStr">
        <is>
          <t>②縣市內頁</t>
        </is>
      </c>
      <c r="B42" s="5" t="inlineStr">
        <is>
          <t>keelung/public-urban-land-readjustment.html</t>
        </is>
      </c>
      <c r="C42" s="5" t="inlineStr">
        <is>
          <t>public-urban-land-readjustment.html</t>
        </is>
      </c>
      <c r="D42" s="5" t="inlineStr">
        <is>
          <t>已存在</t>
        </is>
      </c>
      <c r="E42" s="5" t="inlineStr">
        <is>
          <t>keelung/public-urban-land-readjustment.html</t>
        </is>
      </c>
    </row>
    <row r="43">
      <c r="A43" s="5" t="inlineStr">
        <is>
          <t>②縣市內頁</t>
        </is>
      </c>
      <c r="B43" s="5" t="inlineStr">
        <is>
          <t>keelung/private-urban-land-readjustment.html</t>
        </is>
      </c>
      <c r="C43" s="5" t="inlineStr">
        <is>
          <t>private-urban-land-readjustment.html</t>
        </is>
      </c>
      <c r="D43" s="5" t="inlineStr">
        <is>
          <t>已存在</t>
        </is>
      </c>
      <c r="E43" s="5" t="inlineStr">
        <is>
          <t>keelung/private-urban-land-readjustment.html</t>
        </is>
      </c>
    </row>
    <row r="44">
      <c r="A44" s="5" t="inlineStr">
        <is>
          <t>②縣市內頁</t>
        </is>
      </c>
      <c r="B44" s="5" t="inlineStr">
        <is>
          <t>keelung/zone-expropriation.html</t>
        </is>
      </c>
      <c r="C44" s="5" t="inlineStr">
        <is>
          <t>zone-expropriation.html</t>
        </is>
      </c>
      <c r="D44" s="5" t="inlineStr">
        <is>
          <t>已存在</t>
        </is>
      </c>
      <c r="E44" s="5" t="inlineStr">
        <is>
          <t>keelung/zone-expropriation.html</t>
        </is>
      </c>
    </row>
    <row r="45">
      <c r="A45" s="5" t="inlineStr">
        <is>
          <t>②縣市內頁</t>
        </is>
      </c>
      <c r="B45" s="5" t="inlineStr">
        <is>
          <t>keelung/urban-renewal.html</t>
        </is>
      </c>
      <c r="C45" s="5" t="inlineStr">
        <is>
          <t>urban-renewal.html</t>
        </is>
      </c>
      <c r="D45" s="5" t="inlineStr">
        <is>
          <t>已存在</t>
        </is>
      </c>
      <c r="E45" s="5" t="inlineStr">
        <is>
          <t>keelung/urban-renewal.html</t>
        </is>
      </c>
    </row>
    <row r="46">
      <c r="A46" s="5" t="inlineStr">
        <is>
          <t>②縣市內頁</t>
        </is>
      </c>
      <c r="B46" s="5" t="inlineStr">
        <is>
          <t>hsinchu-city/index.html</t>
        </is>
      </c>
      <c r="C46" s="5" t="inlineStr">
        <is>
          <t>index.html</t>
        </is>
      </c>
      <c r="D46" s="5" t="inlineStr">
        <is>
          <t>已存在</t>
        </is>
      </c>
      <c r="E46" s="5" t="inlineStr">
        <is>
          <t>hsinchu-city/index.html</t>
        </is>
      </c>
    </row>
    <row r="47">
      <c r="A47" s="5" t="inlineStr">
        <is>
          <t>②縣市內頁</t>
        </is>
      </c>
      <c r="B47" s="5" t="inlineStr">
        <is>
          <t>hsinchu-city/public-urban-land-readjustment.html</t>
        </is>
      </c>
      <c r="C47" s="5" t="inlineStr">
        <is>
          <t>public-urban-land-readjustment.html</t>
        </is>
      </c>
      <c r="D47" s="5" t="inlineStr">
        <is>
          <t>已存在</t>
        </is>
      </c>
      <c r="E47" s="5" t="inlineStr">
        <is>
          <t>hsinchu-city/public-urban-land-readjustment.html</t>
        </is>
      </c>
    </row>
    <row r="48">
      <c r="A48" s="5" t="inlineStr">
        <is>
          <t>②縣市內頁</t>
        </is>
      </c>
      <c r="B48" s="5" t="inlineStr">
        <is>
          <t>hsinchu-city/private-urban-land-readjustment.html</t>
        </is>
      </c>
      <c r="C48" s="5" t="inlineStr">
        <is>
          <t>private-urban-land-readjustment.html</t>
        </is>
      </c>
      <c r="D48" s="5" t="inlineStr">
        <is>
          <t>已存在</t>
        </is>
      </c>
      <c r="E48" s="5" t="inlineStr">
        <is>
          <t>hsinchu-city/private-urban-land-readjustment.html</t>
        </is>
      </c>
    </row>
    <row r="49">
      <c r="A49" s="5" t="inlineStr">
        <is>
          <t>②縣市內頁</t>
        </is>
      </c>
      <c r="B49" s="5" t="inlineStr">
        <is>
          <t>hsinchu-city/zone-expropriation.html</t>
        </is>
      </c>
      <c r="C49" s="5" t="inlineStr">
        <is>
          <t>zone-expropriation.html</t>
        </is>
      </c>
      <c r="D49" s="5" t="inlineStr">
        <is>
          <t>已存在</t>
        </is>
      </c>
      <c r="E49" s="5" t="inlineStr">
        <is>
          <t>hsinchu-city/zone-expropriation.html</t>
        </is>
      </c>
    </row>
    <row r="50">
      <c r="A50" s="5" t="inlineStr">
        <is>
          <t>②縣市內頁</t>
        </is>
      </c>
      <c r="B50" s="5" t="inlineStr">
        <is>
          <t>hsinchu-city/urban-renewal.html</t>
        </is>
      </c>
      <c r="C50" s="5" t="inlineStr">
        <is>
          <t>urban-renewal.html</t>
        </is>
      </c>
      <c r="D50" s="5" t="inlineStr">
        <is>
          <t>已存在</t>
        </is>
      </c>
      <c r="E50" s="5" t="inlineStr">
        <is>
          <t>hsinchu-city/urban-renewal.html</t>
        </is>
      </c>
    </row>
    <row r="51">
      <c r="A51" s="5" t="inlineStr">
        <is>
          <t>②縣市內頁</t>
        </is>
      </c>
      <c r="B51" s="5" t="inlineStr">
        <is>
          <t>hsinchu-county/index.html</t>
        </is>
      </c>
      <c r="C51" s="5" t="inlineStr">
        <is>
          <t>index.html</t>
        </is>
      </c>
      <c r="D51" s="5" t="inlineStr">
        <is>
          <t>已存在</t>
        </is>
      </c>
      <c r="E51" s="5" t="inlineStr">
        <is>
          <t>hsinchu-county/index.html</t>
        </is>
      </c>
    </row>
    <row r="52">
      <c r="A52" s="5" t="inlineStr">
        <is>
          <t>②縣市內頁</t>
        </is>
      </c>
      <c r="B52" s="5" t="inlineStr">
        <is>
          <t>hsinchu-county/public-urban-land-readjustment.html</t>
        </is>
      </c>
      <c r="C52" s="5" t="inlineStr">
        <is>
          <t>public-urban-land-readjustment.html</t>
        </is>
      </c>
      <c r="D52" s="5" t="inlineStr">
        <is>
          <t>已存在</t>
        </is>
      </c>
      <c r="E52" s="5" t="inlineStr">
        <is>
          <t>hsinchu-county/public-urban-land-readjustment.html</t>
        </is>
      </c>
    </row>
    <row r="53">
      <c r="A53" s="5" t="inlineStr">
        <is>
          <t>②縣市內頁</t>
        </is>
      </c>
      <c r="B53" s="5" t="inlineStr">
        <is>
          <t>hsinchu-county/private-urban-land-readjustment.html</t>
        </is>
      </c>
      <c r="C53" s="5" t="inlineStr">
        <is>
          <t>private-urban-land-readjustment.html</t>
        </is>
      </c>
      <c r="D53" s="5" t="inlineStr">
        <is>
          <t>已存在</t>
        </is>
      </c>
      <c r="E53" s="5" t="inlineStr">
        <is>
          <t>hsinchu-county/private-urban-land-readjustment.html</t>
        </is>
      </c>
    </row>
    <row r="54">
      <c r="A54" s="5" t="inlineStr">
        <is>
          <t>②縣市內頁</t>
        </is>
      </c>
      <c r="B54" s="5" t="inlineStr">
        <is>
          <t>hsinchu-county/zone-expropriation.html</t>
        </is>
      </c>
      <c r="C54" s="5" t="inlineStr">
        <is>
          <t>zone-expropriation.html</t>
        </is>
      </c>
      <c r="D54" s="5" t="inlineStr">
        <is>
          <t>已存在</t>
        </is>
      </c>
      <c r="E54" s="5" t="inlineStr">
        <is>
          <t>hsinchu-county/zone-expropriation.html</t>
        </is>
      </c>
    </row>
    <row r="55">
      <c r="A55" s="5" t="inlineStr">
        <is>
          <t>②縣市內頁</t>
        </is>
      </c>
      <c r="B55" s="5" t="inlineStr">
        <is>
          <t>hsinchu-county/urban-renewal.html</t>
        </is>
      </c>
      <c r="C55" s="5" t="inlineStr">
        <is>
          <t>urban-renewal.html</t>
        </is>
      </c>
      <c r="D55" s="5" t="inlineStr">
        <is>
          <t>已存在</t>
        </is>
      </c>
      <c r="E55" s="5" t="inlineStr">
        <is>
          <t>hsinchu-county/urban-renewal.html</t>
        </is>
      </c>
    </row>
    <row r="56">
      <c r="A56" s="5" t="inlineStr">
        <is>
          <t>②縣市內頁</t>
        </is>
      </c>
      <c r="B56" s="5" t="inlineStr">
        <is>
          <t>miaoli/index.html</t>
        </is>
      </c>
      <c r="C56" s="5" t="inlineStr">
        <is>
          <t>index.html</t>
        </is>
      </c>
      <c r="D56" s="5" t="inlineStr">
        <is>
          <t>已存在</t>
        </is>
      </c>
      <c r="E56" s="5" t="inlineStr">
        <is>
          <t>miaoli/index.html</t>
        </is>
      </c>
    </row>
    <row r="57">
      <c r="A57" s="5" t="inlineStr">
        <is>
          <t>②縣市內頁</t>
        </is>
      </c>
      <c r="B57" s="5" t="inlineStr">
        <is>
          <t>miaoli/public-urban-land-readjustment.html</t>
        </is>
      </c>
      <c r="C57" s="5" t="inlineStr">
        <is>
          <t>public-urban-land-readjustment.html</t>
        </is>
      </c>
      <c r="D57" s="5" t="inlineStr">
        <is>
          <t>已存在</t>
        </is>
      </c>
      <c r="E57" s="5" t="inlineStr">
        <is>
          <t>miaoli/public-urban-land-readjustment.html</t>
        </is>
      </c>
    </row>
    <row r="58">
      <c r="A58" s="5" t="inlineStr">
        <is>
          <t>②縣市內頁</t>
        </is>
      </c>
      <c r="B58" s="5" t="inlineStr">
        <is>
          <t>miaoli/private-urban-land-readjustment.html</t>
        </is>
      </c>
      <c r="C58" s="5" t="inlineStr">
        <is>
          <t>private-urban-land-readjustment.html</t>
        </is>
      </c>
      <c r="D58" s="5" t="inlineStr">
        <is>
          <t>已存在</t>
        </is>
      </c>
      <c r="E58" s="5" t="inlineStr">
        <is>
          <t>miaoli/private-urban-land-readjustment.html</t>
        </is>
      </c>
    </row>
    <row r="59">
      <c r="A59" s="5" t="inlineStr">
        <is>
          <t>②縣市內頁</t>
        </is>
      </c>
      <c r="B59" s="5" t="inlineStr">
        <is>
          <t>miaoli/zone-expropriation.html</t>
        </is>
      </c>
      <c r="C59" s="5" t="inlineStr">
        <is>
          <t>zone-expropriation.html</t>
        </is>
      </c>
      <c r="D59" s="5" t="inlineStr">
        <is>
          <t>已存在</t>
        </is>
      </c>
      <c r="E59" s="5" t="inlineStr">
        <is>
          <t>miaoli/zone-expropriation.html</t>
        </is>
      </c>
    </row>
    <row r="60">
      <c r="A60" s="5" t="inlineStr">
        <is>
          <t>②縣市內頁</t>
        </is>
      </c>
      <c r="B60" s="5" t="inlineStr">
        <is>
          <t>miaoli/urban-renewal.html</t>
        </is>
      </c>
      <c r="C60" s="5" t="inlineStr">
        <is>
          <t>urban-renewal.html</t>
        </is>
      </c>
      <c r="D60" s="5" t="inlineStr">
        <is>
          <t>已存在</t>
        </is>
      </c>
      <c r="E60" s="5" t="inlineStr">
        <is>
          <t>miaoli/urban-renewal.html</t>
        </is>
      </c>
    </row>
    <row r="61">
      <c r="A61" s="5" t="inlineStr">
        <is>
          <t>②縣市內頁</t>
        </is>
      </c>
      <c r="B61" s="5" t="inlineStr">
        <is>
          <t>yilan/index.html</t>
        </is>
      </c>
      <c r="C61" s="5" t="inlineStr">
        <is>
          <t>index.html</t>
        </is>
      </c>
      <c r="D61" s="5" t="inlineStr">
        <is>
          <t>已存在</t>
        </is>
      </c>
      <c r="E61" s="5" t="inlineStr">
        <is>
          <t>yilan/index.html</t>
        </is>
      </c>
    </row>
    <row r="62">
      <c r="A62" s="5" t="inlineStr">
        <is>
          <t>②縣市內頁</t>
        </is>
      </c>
      <c r="B62" s="5" t="inlineStr">
        <is>
          <t>yilan/public-urban-land-readjustment.html</t>
        </is>
      </c>
      <c r="C62" s="5" t="inlineStr">
        <is>
          <t>public-urban-land-readjustment.html</t>
        </is>
      </c>
      <c r="D62" s="5" t="inlineStr">
        <is>
          <t>已存在</t>
        </is>
      </c>
      <c r="E62" s="5" t="inlineStr">
        <is>
          <t>yilan/public-urban-land-readjustment.html</t>
        </is>
      </c>
    </row>
    <row r="63">
      <c r="A63" s="5" t="inlineStr">
        <is>
          <t>②縣市內頁</t>
        </is>
      </c>
      <c r="B63" s="5" t="inlineStr">
        <is>
          <t>yilan/private-urban-land-readjustment.html</t>
        </is>
      </c>
      <c r="C63" s="5" t="inlineStr">
        <is>
          <t>private-urban-land-readjustment.html</t>
        </is>
      </c>
      <c r="D63" s="5" t="inlineStr">
        <is>
          <t>已存在</t>
        </is>
      </c>
      <c r="E63" s="5" t="inlineStr">
        <is>
          <t>yilan/private-urban-land-readjustment.html</t>
        </is>
      </c>
    </row>
    <row r="64">
      <c r="A64" s="5" t="inlineStr">
        <is>
          <t>②縣市內頁</t>
        </is>
      </c>
      <c r="B64" s="5" t="inlineStr">
        <is>
          <t>yilan/zone-expropriation.html</t>
        </is>
      </c>
      <c r="C64" s="5" t="inlineStr">
        <is>
          <t>zone-expropriation.html</t>
        </is>
      </c>
      <c r="D64" s="5" t="inlineStr">
        <is>
          <t>已存在</t>
        </is>
      </c>
      <c r="E64" s="5" t="inlineStr">
        <is>
          <t>yilan/zone-expropriation.html</t>
        </is>
      </c>
    </row>
    <row r="65">
      <c r="A65" s="5" t="inlineStr">
        <is>
          <t>②縣市內頁</t>
        </is>
      </c>
      <c r="B65" s="5" t="inlineStr">
        <is>
          <t>yilan/urban-renewal.html</t>
        </is>
      </c>
      <c r="C65" s="5" t="inlineStr">
        <is>
          <t>urban-renewal.html</t>
        </is>
      </c>
      <c r="D65" s="5" t="inlineStr">
        <is>
          <t>已存在</t>
        </is>
      </c>
      <c r="E65" s="5" t="inlineStr">
        <is>
          <t>yilan/urban-renewal.html</t>
        </is>
      </c>
    </row>
    <row r="66">
      <c r="A66" s="5" t="inlineStr">
        <is>
          <t>②縣市內頁</t>
        </is>
      </c>
      <c r="B66" s="5" t="inlineStr">
        <is>
          <t>changhua/index.html</t>
        </is>
      </c>
      <c r="C66" s="5" t="inlineStr">
        <is>
          <t>index.html</t>
        </is>
      </c>
      <c r="D66" s="5" t="inlineStr">
        <is>
          <t>已存在</t>
        </is>
      </c>
      <c r="E66" s="5" t="inlineStr">
        <is>
          <t>changhua/index.html</t>
        </is>
      </c>
    </row>
    <row r="67">
      <c r="A67" s="5" t="inlineStr">
        <is>
          <t>②縣市內頁</t>
        </is>
      </c>
      <c r="B67" s="5" t="inlineStr">
        <is>
          <t>changhua/public-urban-land-readjustment.html</t>
        </is>
      </c>
      <c r="C67" s="5" t="inlineStr">
        <is>
          <t>public-urban-land-readjustment.html</t>
        </is>
      </c>
      <c r="D67" s="5" t="inlineStr">
        <is>
          <t>已存在</t>
        </is>
      </c>
      <c r="E67" s="5" t="inlineStr">
        <is>
          <t>changhua/public-urban-land-readjustment.html</t>
        </is>
      </c>
    </row>
    <row r="68">
      <c r="A68" s="5" t="inlineStr">
        <is>
          <t>②縣市內頁</t>
        </is>
      </c>
      <c r="B68" s="5" t="inlineStr">
        <is>
          <t>changhua/private-urban-land-readjustment.html</t>
        </is>
      </c>
      <c r="C68" s="5" t="inlineStr">
        <is>
          <t>private-urban-land-readjustment.html</t>
        </is>
      </c>
      <c r="D68" s="5" t="inlineStr">
        <is>
          <t>已存在</t>
        </is>
      </c>
      <c r="E68" s="5" t="inlineStr">
        <is>
          <t>changhua/private-urban-land-readjustment.html</t>
        </is>
      </c>
    </row>
    <row r="69">
      <c r="A69" s="5" t="inlineStr">
        <is>
          <t>②縣市內頁</t>
        </is>
      </c>
      <c r="B69" s="5" t="inlineStr">
        <is>
          <t>changhua/zone-expropriation.html</t>
        </is>
      </c>
      <c r="C69" s="5" t="inlineStr">
        <is>
          <t>zone-expropriation.html</t>
        </is>
      </c>
      <c r="D69" s="5" t="inlineStr">
        <is>
          <t>已存在</t>
        </is>
      </c>
      <c r="E69" s="5" t="inlineStr">
        <is>
          <t>changhua/zone-expropriation.html</t>
        </is>
      </c>
    </row>
    <row r="70">
      <c r="A70" s="5" t="inlineStr">
        <is>
          <t>②縣市內頁</t>
        </is>
      </c>
      <c r="B70" s="5" t="inlineStr">
        <is>
          <t>changhua/urban-renewal.html</t>
        </is>
      </c>
      <c r="C70" s="5" t="inlineStr">
        <is>
          <t>urban-renewal.html</t>
        </is>
      </c>
      <c r="D70" s="5" t="inlineStr">
        <is>
          <t>已存在</t>
        </is>
      </c>
      <c r="E70" s="5" t="inlineStr">
        <is>
          <t>changhua/urban-renewal.html</t>
        </is>
      </c>
    </row>
    <row r="71">
      <c r="A71" s="5" t="inlineStr">
        <is>
          <t>②縣市內頁</t>
        </is>
      </c>
      <c r="B71" s="5" t="inlineStr">
        <is>
          <t>nantou/index.html</t>
        </is>
      </c>
      <c r="C71" s="5" t="inlineStr">
        <is>
          <t>index.html</t>
        </is>
      </c>
      <c r="D71" s="5" t="inlineStr">
        <is>
          <t>已存在</t>
        </is>
      </c>
      <c r="E71" s="5" t="inlineStr">
        <is>
          <t>nantou/index.html</t>
        </is>
      </c>
    </row>
    <row r="72">
      <c r="A72" s="5" t="inlineStr">
        <is>
          <t>②縣市內頁</t>
        </is>
      </c>
      <c r="B72" s="5" t="inlineStr">
        <is>
          <t>nantou/public-urban-land-readjustment.html</t>
        </is>
      </c>
      <c r="C72" s="5" t="inlineStr">
        <is>
          <t>public-urban-land-readjustment.html</t>
        </is>
      </c>
      <c r="D72" s="5" t="inlineStr">
        <is>
          <t>已存在</t>
        </is>
      </c>
      <c r="E72" s="5" t="inlineStr">
        <is>
          <t>nantou/public-urban-land-readjustment.html</t>
        </is>
      </c>
    </row>
    <row r="73">
      <c r="A73" s="5" t="inlineStr">
        <is>
          <t>②縣市內頁</t>
        </is>
      </c>
      <c r="B73" s="5" t="inlineStr">
        <is>
          <t>nantou/private-urban-land-readjustment.html</t>
        </is>
      </c>
      <c r="C73" s="5" t="inlineStr">
        <is>
          <t>private-urban-land-readjustment.html</t>
        </is>
      </c>
      <c r="D73" s="5" t="inlineStr">
        <is>
          <t>已存在</t>
        </is>
      </c>
      <c r="E73" s="5" t="inlineStr">
        <is>
          <t>nantou/private-urban-land-readjustment.html</t>
        </is>
      </c>
    </row>
    <row r="74">
      <c r="A74" s="5" t="inlineStr">
        <is>
          <t>②縣市內頁</t>
        </is>
      </c>
      <c r="B74" s="5" t="inlineStr">
        <is>
          <t>nantou/zone-expropriation.html</t>
        </is>
      </c>
      <c r="C74" s="5" t="inlineStr">
        <is>
          <t>zone-expropriation.html</t>
        </is>
      </c>
      <c r="D74" s="5" t="inlineStr">
        <is>
          <t>已存在</t>
        </is>
      </c>
      <c r="E74" s="5" t="inlineStr">
        <is>
          <t>nantou/zone-expropriation.html</t>
        </is>
      </c>
    </row>
    <row r="75">
      <c r="A75" s="5" t="inlineStr">
        <is>
          <t>②縣市內頁</t>
        </is>
      </c>
      <c r="B75" s="5" t="inlineStr">
        <is>
          <t>nantou/urban-renewal.html</t>
        </is>
      </c>
      <c r="C75" s="5" t="inlineStr">
        <is>
          <t>urban-renewal.html</t>
        </is>
      </c>
      <c r="D75" s="5" t="inlineStr">
        <is>
          <t>已存在</t>
        </is>
      </c>
      <c r="E75" s="5" t="inlineStr">
        <is>
          <t>nantou/urban-renewal.html</t>
        </is>
      </c>
    </row>
    <row r="76">
      <c r="A76" s="5" t="inlineStr">
        <is>
          <t>②縣市內頁</t>
        </is>
      </c>
      <c r="B76" s="5" t="inlineStr">
        <is>
          <t>yunlin/index.html</t>
        </is>
      </c>
      <c r="C76" s="5" t="inlineStr">
        <is>
          <t>index.html</t>
        </is>
      </c>
      <c r="D76" s="5" t="inlineStr">
        <is>
          <t>已存在</t>
        </is>
      </c>
      <c r="E76" s="5" t="inlineStr">
        <is>
          <t>yunlin/index.html</t>
        </is>
      </c>
    </row>
    <row r="77">
      <c r="A77" s="5" t="inlineStr">
        <is>
          <t>②縣市內頁</t>
        </is>
      </c>
      <c r="B77" s="5" t="inlineStr">
        <is>
          <t>yunlin/public-urban-land-readjustment.html</t>
        </is>
      </c>
      <c r="C77" s="5" t="inlineStr">
        <is>
          <t>public-urban-land-readjustment.html</t>
        </is>
      </c>
      <c r="D77" s="5" t="inlineStr">
        <is>
          <t>已存在</t>
        </is>
      </c>
      <c r="E77" s="5" t="inlineStr">
        <is>
          <t>yunlin/public-urban-land-readjustment.html</t>
        </is>
      </c>
    </row>
    <row r="78">
      <c r="A78" s="5" t="inlineStr">
        <is>
          <t>②縣市內頁</t>
        </is>
      </c>
      <c r="B78" s="5" t="inlineStr">
        <is>
          <t>yunlin/private-urban-land-readjustment.html</t>
        </is>
      </c>
      <c r="C78" s="5" t="inlineStr">
        <is>
          <t>private-urban-land-readjustment.html</t>
        </is>
      </c>
      <c r="D78" s="5" t="inlineStr">
        <is>
          <t>已存在</t>
        </is>
      </c>
      <c r="E78" s="5" t="inlineStr">
        <is>
          <t>yunlin/private-urban-land-readjustment.html</t>
        </is>
      </c>
    </row>
    <row r="79">
      <c r="A79" s="5" t="inlineStr">
        <is>
          <t>②縣市內頁</t>
        </is>
      </c>
      <c r="B79" s="5" t="inlineStr">
        <is>
          <t>yunlin/zone-expropriation.html</t>
        </is>
      </c>
      <c r="C79" s="5" t="inlineStr">
        <is>
          <t>zone-expropriation.html</t>
        </is>
      </c>
      <c r="D79" s="5" t="inlineStr">
        <is>
          <t>已存在</t>
        </is>
      </c>
      <c r="E79" s="5" t="inlineStr">
        <is>
          <t>yunlin/zone-expropriation.html</t>
        </is>
      </c>
    </row>
    <row r="80">
      <c r="A80" s="5" t="inlineStr">
        <is>
          <t>②縣市內頁</t>
        </is>
      </c>
      <c r="B80" s="5" t="inlineStr">
        <is>
          <t>yunlin/urban-renewal.html</t>
        </is>
      </c>
      <c r="C80" s="5" t="inlineStr">
        <is>
          <t>urban-renewal.html</t>
        </is>
      </c>
      <c r="D80" s="5" t="inlineStr">
        <is>
          <t>已存在</t>
        </is>
      </c>
      <c r="E80" s="5" t="inlineStr">
        <is>
          <t>yunlin/urban-renewal.html</t>
        </is>
      </c>
    </row>
    <row r="81">
      <c r="A81" s="5" t="inlineStr">
        <is>
          <t>②縣市內頁</t>
        </is>
      </c>
      <c r="B81" s="5" t="inlineStr">
        <is>
          <t>chiayi-city/index.html</t>
        </is>
      </c>
      <c r="C81" s="5" t="inlineStr">
        <is>
          <t>index.html</t>
        </is>
      </c>
      <c r="D81" s="5" t="inlineStr">
        <is>
          <t>已存在</t>
        </is>
      </c>
      <c r="E81" s="5" t="inlineStr">
        <is>
          <t>chiayi-city/index.html</t>
        </is>
      </c>
    </row>
    <row r="82">
      <c r="A82" s="5" t="inlineStr">
        <is>
          <t>②縣市內頁</t>
        </is>
      </c>
      <c r="B82" s="5" t="inlineStr">
        <is>
          <t>chiayi-city/public-urban-land-readjustment.html</t>
        </is>
      </c>
      <c r="C82" s="5" t="inlineStr">
        <is>
          <t>public-urban-land-readjustment.html</t>
        </is>
      </c>
      <c r="D82" s="5" t="inlineStr">
        <is>
          <t>已存在</t>
        </is>
      </c>
      <c r="E82" s="5" t="inlineStr">
        <is>
          <t>chiayi-city/public-urban-land-readjustment.html</t>
        </is>
      </c>
    </row>
    <row r="83">
      <c r="A83" s="5" t="inlineStr">
        <is>
          <t>②縣市內頁</t>
        </is>
      </c>
      <c r="B83" s="5" t="inlineStr">
        <is>
          <t>chiayi-city/private-urban-land-readjustment.html</t>
        </is>
      </c>
      <c r="C83" s="5" t="inlineStr">
        <is>
          <t>private-urban-land-readjustment.html</t>
        </is>
      </c>
      <c r="D83" s="5" t="inlineStr">
        <is>
          <t>已存在</t>
        </is>
      </c>
      <c r="E83" s="5" t="inlineStr">
        <is>
          <t>chiayi-city/private-urban-land-readjustment.html</t>
        </is>
      </c>
    </row>
    <row r="84">
      <c r="A84" s="5" t="inlineStr">
        <is>
          <t>②縣市內頁</t>
        </is>
      </c>
      <c r="B84" s="5" t="inlineStr">
        <is>
          <t>chiayi-city/zone-expropriation.html</t>
        </is>
      </c>
      <c r="C84" s="5" t="inlineStr">
        <is>
          <t>zone-expropriation.html</t>
        </is>
      </c>
      <c r="D84" s="5" t="inlineStr">
        <is>
          <t>已存在</t>
        </is>
      </c>
      <c r="E84" s="5" t="inlineStr">
        <is>
          <t>chiayi-city/zone-expropriation.html</t>
        </is>
      </c>
    </row>
    <row r="85">
      <c r="A85" s="5" t="inlineStr">
        <is>
          <t>②縣市內頁</t>
        </is>
      </c>
      <c r="B85" s="5" t="inlineStr">
        <is>
          <t>chiayi-city/urban-renewal.html</t>
        </is>
      </c>
      <c r="C85" s="5" t="inlineStr">
        <is>
          <t>urban-renewal.html</t>
        </is>
      </c>
      <c r="D85" s="5" t="inlineStr">
        <is>
          <t>已存在</t>
        </is>
      </c>
      <c r="E85" s="5" t="inlineStr">
        <is>
          <t>chiayi-city/urban-renewal.html</t>
        </is>
      </c>
    </row>
    <row r="86">
      <c r="A86" s="5" t="inlineStr">
        <is>
          <t>②縣市內頁</t>
        </is>
      </c>
      <c r="B86" s="5" t="inlineStr">
        <is>
          <t>chiayi-county/index.html</t>
        </is>
      </c>
      <c r="C86" s="5" t="inlineStr">
        <is>
          <t>index.html</t>
        </is>
      </c>
      <c r="D86" s="5" t="inlineStr">
        <is>
          <t>已存在</t>
        </is>
      </c>
      <c r="E86" s="5" t="inlineStr">
        <is>
          <t>chiayi-county/index.html</t>
        </is>
      </c>
    </row>
    <row r="87">
      <c r="A87" s="5" t="inlineStr">
        <is>
          <t>②縣市內頁</t>
        </is>
      </c>
      <c r="B87" s="5" t="inlineStr">
        <is>
          <t>chiayi-county/public-urban-land-readjustment.html</t>
        </is>
      </c>
      <c r="C87" s="5" t="inlineStr">
        <is>
          <t>public-urban-land-readjustment.html</t>
        </is>
      </c>
      <c r="D87" s="5" t="inlineStr">
        <is>
          <t>已存在</t>
        </is>
      </c>
      <c r="E87" s="5" t="inlineStr">
        <is>
          <t>chiayi-county/public-urban-land-readjustment.html</t>
        </is>
      </c>
    </row>
    <row r="88">
      <c r="A88" s="5" t="inlineStr">
        <is>
          <t>②縣市內頁</t>
        </is>
      </c>
      <c r="B88" s="5" t="inlineStr">
        <is>
          <t>chiayi-county/private-urban-land-readjustment.html</t>
        </is>
      </c>
      <c r="C88" s="5" t="inlineStr">
        <is>
          <t>private-urban-land-readjustment.html</t>
        </is>
      </c>
      <c r="D88" s="5" t="inlineStr">
        <is>
          <t>已存在</t>
        </is>
      </c>
      <c r="E88" s="5" t="inlineStr">
        <is>
          <t>chiayi-county/private-urban-land-readjustment.html</t>
        </is>
      </c>
    </row>
    <row r="89">
      <c r="A89" s="5" t="inlineStr">
        <is>
          <t>②縣市內頁</t>
        </is>
      </c>
      <c r="B89" s="5" t="inlineStr">
        <is>
          <t>chiayi-county/zone-expropriation.html</t>
        </is>
      </c>
      <c r="C89" s="5" t="inlineStr">
        <is>
          <t>zone-expropriation.html</t>
        </is>
      </c>
      <c r="D89" s="5" t="inlineStr">
        <is>
          <t>已存在</t>
        </is>
      </c>
      <c r="E89" s="5" t="inlineStr">
        <is>
          <t>chiayi-county/zone-expropriation.html</t>
        </is>
      </c>
    </row>
    <row r="90">
      <c r="A90" s="5" t="inlineStr">
        <is>
          <t>②縣市內頁</t>
        </is>
      </c>
      <c r="B90" s="5" t="inlineStr">
        <is>
          <t>chiayi-county/urban-renewal.html</t>
        </is>
      </c>
      <c r="C90" s="5" t="inlineStr">
        <is>
          <t>urban-renewal.html</t>
        </is>
      </c>
      <c r="D90" s="5" t="inlineStr">
        <is>
          <t>已存在</t>
        </is>
      </c>
      <c r="E90" s="5" t="inlineStr">
        <is>
          <t>chiayi-county/urban-renewal.html</t>
        </is>
      </c>
    </row>
    <row r="91">
      <c r="A91" s="5" t="inlineStr">
        <is>
          <t>②縣市內頁</t>
        </is>
      </c>
      <c r="B91" s="5" t="inlineStr">
        <is>
          <t>pingtung/index.html</t>
        </is>
      </c>
      <c r="C91" s="5" t="inlineStr">
        <is>
          <t>index.html</t>
        </is>
      </c>
      <c r="D91" s="5" t="inlineStr">
        <is>
          <t>已存在</t>
        </is>
      </c>
      <c r="E91" s="5" t="inlineStr">
        <is>
          <t>pingtung/index.html</t>
        </is>
      </c>
    </row>
    <row r="92">
      <c r="A92" s="5" t="inlineStr">
        <is>
          <t>②縣市內頁</t>
        </is>
      </c>
      <c r="B92" s="5" t="inlineStr">
        <is>
          <t>pingtung/public-urban-land-readjustment.html</t>
        </is>
      </c>
      <c r="C92" s="5" t="inlineStr">
        <is>
          <t>public-urban-land-readjustment.html</t>
        </is>
      </c>
      <c r="D92" s="5" t="inlineStr">
        <is>
          <t>已存在</t>
        </is>
      </c>
      <c r="E92" s="5" t="inlineStr">
        <is>
          <t>pingtung/public-urban-land-readjustment.html</t>
        </is>
      </c>
    </row>
    <row r="93">
      <c r="A93" s="5" t="inlineStr">
        <is>
          <t>②縣市內頁</t>
        </is>
      </c>
      <c r="B93" s="5" t="inlineStr">
        <is>
          <t>pingtung/private-urban-land-readjustment.html</t>
        </is>
      </c>
      <c r="C93" s="5" t="inlineStr">
        <is>
          <t>private-urban-land-readjustment.html</t>
        </is>
      </c>
      <c r="D93" s="5" t="inlineStr">
        <is>
          <t>已存在</t>
        </is>
      </c>
      <c r="E93" s="5" t="inlineStr">
        <is>
          <t>pingtung/private-urban-land-readjustment.html</t>
        </is>
      </c>
    </row>
    <row r="94">
      <c r="A94" s="5" t="inlineStr">
        <is>
          <t>②縣市內頁</t>
        </is>
      </c>
      <c r="B94" s="5" t="inlineStr">
        <is>
          <t>pingtung/zone-expropriation.html</t>
        </is>
      </c>
      <c r="C94" s="5" t="inlineStr">
        <is>
          <t>zone-expropriation.html</t>
        </is>
      </c>
      <c r="D94" s="5" t="inlineStr">
        <is>
          <t>已存在</t>
        </is>
      </c>
      <c r="E94" s="5" t="inlineStr">
        <is>
          <t>pingtung/zone-expropriation.html</t>
        </is>
      </c>
    </row>
    <row r="95">
      <c r="A95" s="5" t="inlineStr">
        <is>
          <t>②縣市內頁</t>
        </is>
      </c>
      <c r="B95" s="5" t="inlineStr">
        <is>
          <t>pingtung/urban-renewal.html</t>
        </is>
      </c>
      <c r="C95" s="5" t="inlineStr">
        <is>
          <t>urban-renewal.html</t>
        </is>
      </c>
      <c r="D95" s="5" t="inlineStr">
        <is>
          <t>已存在</t>
        </is>
      </c>
      <c r="E95" s="5" t="inlineStr">
        <is>
          <t>pingtung/urban-renewal.html</t>
        </is>
      </c>
    </row>
    <row r="96">
      <c r="A96" s="5" t="inlineStr">
        <is>
          <t>②縣市內頁</t>
        </is>
      </c>
      <c r="B96" s="5" t="inlineStr">
        <is>
          <t>hualien/index.html</t>
        </is>
      </c>
      <c r="C96" s="5" t="inlineStr">
        <is>
          <t>index.html</t>
        </is>
      </c>
      <c r="D96" s="5" t="inlineStr">
        <is>
          <t>已存在</t>
        </is>
      </c>
      <c r="E96" s="5" t="inlineStr">
        <is>
          <t>hualien/index.html</t>
        </is>
      </c>
    </row>
    <row r="97">
      <c r="A97" s="5" t="inlineStr">
        <is>
          <t>②縣市內頁</t>
        </is>
      </c>
      <c r="B97" s="5" t="inlineStr">
        <is>
          <t>hualien/public-urban-land-readjustment.html</t>
        </is>
      </c>
      <c r="C97" s="5" t="inlineStr">
        <is>
          <t>public-urban-land-readjustment.html</t>
        </is>
      </c>
      <c r="D97" s="5" t="inlineStr">
        <is>
          <t>已存在</t>
        </is>
      </c>
      <c r="E97" s="5" t="inlineStr">
        <is>
          <t>hualien/public-urban-land-readjustment.html</t>
        </is>
      </c>
    </row>
    <row r="98">
      <c r="A98" s="5" t="inlineStr">
        <is>
          <t>②縣市內頁</t>
        </is>
      </c>
      <c r="B98" s="5" t="inlineStr">
        <is>
          <t>hualien/private-urban-land-readjustment.html</t>
        </is>
      </c>
      <c r="C98" s="5" t="inlineStr">
        <is>
          <t>private-urban-land-readjustment.html</t>
        </is>
      </c>
      <c r="D98" s="5" t="inlineStr">
        <is>
          <t>已存在</t>
        </is>
      </c>
      <c r="E98" s="5" t="inlineStr">
        <is>
          <t>hualien/private-urban-land-readjustment.html</t>
        </is>
      </c>
    </row>
    <row r="99">
      <c r="A99" s="5" t="inlineStr">
        <is>
          <t>②縣市內頁</t>
        </is>
      </c>
      <c r="B99" s="5" t="inlineStr">
        <is>
          <t>hualien/zone-expropriation.html</t>
        </is>
      </c>
      <c r="C99" s="5" t="inlineStr">
        <is>
          <t>zone-expropriation.html</t>
        </is>
      </c>
      <c r="D99" s="5" t="inlineStr">
        <is>
          <t>已存在</t>
        </is>
      </c>
      <c r="E99" s="5" t="inlineStr">
        <is>
          <t>hualien/zone-expropriation.html</t>
        </is>
      </c>
    </row>
    <row r="100">
      <c r="A100" s="5" t="inlineStr">
        <is>
          <t>②縣市內頁</t>
        </is>
      </c>
      <c r="B100" s="5" t="inlineStr">
        <is>
          <t>hualien/urban-renewal.html</t>
        </is>
      </c>
      <c r="C100" s="5" t="inlineStr">
        <is>
          <t>urban-renewal.html</t>
        </is>
      </c>
      <c r="D100" s="5" t="inlineStr">
        <is>
          <t>已存在</t>
        </is>
      </c>
      <c r="E100" s="5" t="inlineStr">
        <is>
          <t>hualien/urban-renewal.html</t>
        </is>
      </c>
    </row>
    <row r="101">
      <c r="A101" s="5" t="inlineStr">
        <is>
          <t>②縣市內頁</t>
        </is>
      </c>
      <c r="B101" s="5" t="inlineStr">
        <is>
          <t>taitung/index.html</t>
        </is>
      </c>
      <c r="C101" s="5" t="inlineStr">
        <is>
          <t>index.html</t>
        </is>
      </c>
      <c r="D101" s="5" t="inlineStr">
        <is>
          <t>已存在</t>
        </is>
      </c>
      <c r="E101" s="5" t="inlineStr">
        <is>
          <t>taitung/index.html</t>
        </is>
      </c>
    </row>
    <row r="102">
      <c r="A102" s="5" t="inlineStr">
        <is>
          <t>②縣市內頁</t>
        </is>
      </c>
      <c r="B102" s="5" t="inlineStr">
        <is>
          <t>taitung/public-urban-land-readjustment.html</t>
        </is>
      </c>
      <c r="C102" s="5" t="inlineStr">
        <is>
          <t>public-urban-land-readjustment.html</t>
        </is>
      </c>
      <c r="D102" s="5" t="inlineStr">
        <is>
          <t>已存在</t>
        </is>
      </c>
      <c r="E102" s="5" t="inlineStr">
        <is>
          <t>taitung/public-urban-land-readjustment.html</t>
        </is>
      </c>
    </row>
    <row r="103">
      <c r="A103" s="5" t="inlineStr">
        <is>
          <t>②縣市內頁</t>
        </is>
      </c>
      <c r="B103" s="5" t="inlineStr">
        <is>
          <t>taitung/private-urban-land-readjustment.html</t>
        </is>
      </c>
      <c r="C103" s="5" t="inlineStr">
        <is>
          <t>private-urban-land-readjustment.html</t>
        </is>
      </c>
      <c r="D103" s="5" t="inlineStr">
        <is>
          <t>已存在</t>
        </is>
      </c>
      <c r="E103" s="5" t="inlineStr">
        <is>
          <t>taitung/private-urban-land-readjustment.html</t>
        </is>
      </c>
    </row>
    <row r="104">
      <c r="A104" s="5" t="inlineStr">
        <is>
          <t>②縣市內頁</t>
        </is>
      </c>
      <c r="B104" s="5" t="inlineStr">
        <is>
          <t>taitung/zone-expropriation.html</t>
        </is>
      </c>
      <c r="C104" s="5" t="inlineStr">
        <is>
          <t>zone-expropriation.html</t>
        </is>
      </c>
      <c r="D104" s="5" t="inlineStr">
        <is>
          <t>已存在</t>
        </is>
      </c>
      <c r="E104" s="5" t="inlineStr">
        <is>
          <t>taitung/zone-expropriation.html</t>
        </is>
      </c>
    </row>
    <row r="105">
      <c r="A105" s="5" t="inlineStr">
        <is>
          <t>②縣市內頁</t>
        </is>
      </c>
      <c r="B105" s="5" t="inlineStr">
        <is>
          <t>taitung/urban-renewal.html</t>
        </is>
      </c>
      <c r="C105" s="5" t="inlineStr">
        <is>
          <t>urban-renewal.html</t>
        </is>
      </c>
      <c r="D105" s="5" t="inlineStr">
        <is>
          <t>已存在</t>
        </is>
      </c>
      <c r="E105" s="5" t="inlineStr">
        <is>
          <t>taitung/urban-renewal.html</t>
        </is>
      </c>
    </row>
    <row r="106">
      <c r="A106" s="5" t="inlineStr">
        <is>
          <t>②縣市內頁</t>
        </is>
      </c>
      <c r="B106" s="5" t="inlineStr">
        <is>
          <t>penghu/index.html</t>
        </is>
      </c>
      <c r="C106" s="5" t="inlineStr">
        <is>
          <t>index.html</t>
        </is>
      </c>
      <c r="D106" s="5" t="inlineStr">
        <is>
          <t>已存在</t>
        </is>
      </c>
      <c r="E106" s="5" t="inlineStr">
        <is>
          <t>penghu/index.html</t>
        </is>
      </c>
    </row>
    <row r="107">
      <c r="A107" s="5" t="inlineStr">
        <is>
          <t>②縣市內頁</t>
        </is>
      </c>
      <c r="B107" s="5" t="inlineStr">
        <is>
          <t>penghu/public-urban-land-readjustment.html</t>
        </is>
      </c>
      <c r="C107" s="5" t="inlineStr">
        <is>
          <t>public-urban-land-readjustment.html</t>
        </is>
      </c>
      <c r="D107" s="5" t="inlineStr">
        <is>
          <t>已存在</t>
        </is>
      </c>
      <c r="E107" s="5" t="inlineStr">
        <is>
          <t>penghu/public-urban-land-readjustment.html</t>
        </is>
      </c>
    </row>
    <row r="108">
      <c r="A108" s="5" t="inlineStr">
        <is>
          <t>②縣市內頁</t>
        </is>
      </c>
      <c r="B108" s="5" t="inlineStr">
        <is>
          <t>penghu/private-urban-land-readjustment.html</t>
        </is>
      </c>
      <c r="C108" s="5" t="inlineStr">
        <is>
          <t>private-urban-land-readjustment.html</t>
        </is>
      </c>
      <c r="D108" s="5" t="inlineStr">
        <is>
          <t>已存在</t>
        </is>
      </c>
      <c r="E108" s="5" t="inlineStr">
        <is>
          <t>penghu/private-urban-land-readjustment.html</t>
        </is>
      </c>
    </row>
    <row r="109">
      <c r="A109" s="5" t="inlineStr">
        <is>
          <t>②縣市內頁</t>
        </is>
      </c>
      <c r="B109" s="5" t="inlineStr">
        <is>
          <t>penghu/zone-expropriation.html</t>
        </is>
      </c>
      <c r="C109" s="5" t="inlineStr">
        <is>
          <t>zone-expropriation.html</t>
        </is>
      </c>
      <c r="D109" s="5" t="inlineStr">
        <is>
          <t>已存在</t>
        </is>
      </c>
      <c r="E109" s="5" t="inlineStr">
        <is>
          <t>penghu/zone-expropriation.html</t>
        </is>
      </c>
    </row>
    <row r="110">
      <c r="A110" s="5" t="inlineStr">
        <is>
          <t>②縣市內頁</t>
        </is>
      </c>
      <c r="B110" s="5" t="inlineStr">
        <is>
          <t>penghu/urban-renewal.html</t>
        </is>
      </c>
      <c r="C110" s="5" t="inlineStr">
        <is>
          <t>urban-renewal.html</t>
        </is>
      </c>
      <c r="D110" s="5" t="inlineStr">
        <is>
          <t>已存在</t>
        </is>
      </c>
      <c r="E110" s="5" t="inlineStr">
        <is>
          <t>penghu/urban-renewal.html</t>
        </is>
      </c>
    </row>
    <row r="111">
      <c r="A111" s="5" t="inlineStr">
        <is>
          <t>②縣市內頁</t>
        </is>
      </c>
      <c r="B111" s="5" t="inlineStr">
        <is>
          <t>kinmen/index.html</t>
        </is>
      </c>
      <c r="C111" s="5" t="inlineStr">
        <is>
          <t>index.html</t>
        </is>
      </c>
      <c r="D111" s="5" t="inlineStr">
        <is>
          <t>已存在</t>
        </is>
      </c>
      <c r="E111" s="5" t="inlineStr">
        <is>
          <t>kinmen/index.html</t>
        </is>
      </c>
    </row>
    <row r="112">
      <c r="A112" s="5" t="inlineStr">
        <is>
          <t>②縣市內頁</t>
        </is>
      </c>
      <c r="B112" s="5" t="inlineStr">
        <is>
          <t>kinmen/public-urban-land-readjustment.html</t>
        </is>
      </c>
      <c r="C112" s="5" t="inlineStr">
        <is>
          <t>public-urban-land-readjustment.html</t>
        </is>
      </c>
      <c r="D112" s="5" t="inlineStr">
        <is>
          <t>已存在</t>
        </is>
      </c>
      <c r="E112" s="5" t="inlineStr">
        <is>
          <t>kinmen/public-urban-land-readjustment.html</t>
        </is>
      </c>
    </row>
    <row r="113">
      <c r="A113" s="5" t="inlineStr">
        <is>
          <t>②縣市內頁</t>
        </is>
      </c>
      <c r="B113" s="5" t="inlineStr">
        <is>
          <t>kinmen/private-urban-land-readjustment.html</t>
        </is>
      </c>
      <c r="C113" s="5" t="inlineStr">
        <is>
          <t>private-urban-land-readjustment.html</t>
        </is>
      </c>
      <c r="D113" s="5" t="inlineStr">
        <is>
          <t>已存在</t>
        </is>
      </c>
      <c r="E113" s="5" t="inlineStr">
        <is>
          <t>kinmen/private-urban-land-readjustment.html</t>
        </is>
      </c>
    </row>
    <row r="114">
      <c r="A114" s="5" t="inlineStr">
        <is>
          <t>②縣市內頁</t>
        </is>
      </c>
      <c r="B114" s="5" t="inlineStr">
        <is>
          <t>kinmen/zone-expropriation.html</t>
        </is>
      </c>
      <c r="C114" s="5" t="inlineStr">
        <is>
          <t>zone-expropriation.html</t>
        </is>
      </c>
      <c r="D114" s="5" t="inlineStr">
        <is>
          <t>已存在</t>
        </is>
      </c>
      <c r="E114" s="5" t="inlineStr">
        <is>
          <t>kinmen/zone-expropriation.html</t>
        </is>
      </c>
    </row>
    <row r="115">
      <c r="A115" s="5" t="inlineStr">
        <is>
          <t>②縣市內頁</t>
        </is>
      </c>
      <c r="B115" s="5" t="inlineStr">
        <is>
          <t>kinmen/urban-renewal.html</t>
        </is>
      </c>
      <c r="C115" s="5" t="inlineStr">
        <is>
          <t>urban-renewal.html</t>
        </is>
      </c>
      <c r="D115" s="5" t="inlineStr">
        <is>
          <t>已存在</t>
        </is>
      </c>
      <c r="E115" s="5" t="inlineStr">
        <is>
          <t>kinmen/urban-renewal.html</t>
        </is>
      </c>
    </row>
    <row r="116">
      <c r="A116" s="5" t="inlineStr">
        <is>
          <t>②縣市內頁</t>
        </is>
      </c>
      <c r="B116" s="5" t="inlineStr">
        <is>
          <t>lienchiang/index.html</t>
        </is>
      </c>
      <c r="C116" s="5" t="inlineStr">
        <is>
          <t>index.html</t>
        </is>
      </c>
      <c r="D116" s="5" t="inlineStr">
        <is>
          <t>已存在</t>
        </is>
      </c>
      <c r="E116" s="5" t="inlineStr">
        <is>
          <t>lienchiang/index.html</t>
        </is>
      </c>
    </row>
    <row r="117">
      <c r="A117" s="5" t="inlineStr">
        <is>
          <t>②縣市內頁</t>
        </is>
      </c>
      <c r="B117" s="5" t="inlineStr">
        <is>
          <t>lienchiang/public-urban-land-readjustment.html</t>
        </is>
      </c>
      <c r="C117" s="5" t="inlineStr">
        <is>
          <t>public-urban-land-readjustment.html</t>
        </is>
      </c>
      <c r="D117" s="5" t="inlineStr">
        <is>
          <t>已存在</t>
        </is>
      </c>
      <c r="E117" s="5" t="inlineStr">
        <is>
          <t>lienchiang/public-urban-land-readjustment.html</t>
        </is>
      </c>
    </row>
    <row r="118">
      <c r="A118" s="5" t="inlineStr">
        <is>
          <t>②縣市內頁</t>
        </is>
      </c>
      <c r="B118" s="5" t="inlineStr">
        <is>
          <t>lienchiang/private-urban-land-readjustment.html</t>
        </is>
      </c>
      <c r="C118" s="5" t="inlineStr">
        <is>
          <t>private-urban-land-readjustment.html</t>
        </is>
      </c>
      <c r="D118" s="5" t="inlineStr">
        <is>
          <t>已存在</t>
        </is>
      </c>
      <c r="E118" s="5" t="inlineStr">
        <is>
          <t>lienchiang/private-urban-land-readjustment.html</t>
        </is>
      </c>
    </row>
    <row r="119">
      <c r="A119" s="5" t="inlineStr">
        <is>
          <t>②縣市內頁</t>
        </is>
      </c>
      <c r="B119" s="5" t="inlineStr">
        <is>
          <t>lienchiang/zone-expropriation.html</t>
        </is>
      </c>
      <c r="C119" s="5" t="inlineStr">
        <is>
          <t>zone-expropriation.html</t>
        </is>
      </c>
      <c r="D119" s="5" t="inlineStr">
        <is>
          <t>已存在</t>
        </is>
      </c>
      <c r="E119" s="5" t="inlineStr">
        <is>
          <t>lienchiang/zone-expropriation.html</t>
        </is>
      </c>
    </row>
    <row r="120">
      <c r="A120" s="5" t="inlineStr">
        <is>
          <t>②縣市內頁</t>
        </is>
      </c>
      <c r="B120" s="5" t="inlineStr">
        <is>
          <t>lienchiang/urban-renewal.html</t>
        </is>
      </c>
      <c r="C120" s="5" t="inlineStr">
        <is>
          <t>urban-renewal.html</t>
        </is>
      </c>
      <c r="D120" s="5" t="inlineStr">
        <is>
          <t>已存在</t>
        </is>
      </c>
      <c r="E120" s="5" t="inlineStr">
        <is>
          <t>lienchiang/urban-renewal.html</t>
        </is>
      </c>
    </row>
    <row r="121">
      <c r="A121" s="5" t="inlineStr">
        <is>
          <t>③百科頁</t>
        </is>
      </c>
      <c r="B121" s="5" t="inlineStr">
        <is>
          <t>taipei/百科-臺北市重劃區與建案.html</t>
        </is>
      </c>
      <c r="C121" s="5" t="inlineStr">
        <is>
          <t>百科-臺北市重劃區與建案.html</t>
        </is>
      </c>
      <c r="D121" s="5" t="inlineStr">
        <is>
          <t>已存在</t>
        </is>
      </c>
      <c r="E121" s="5" t="inlineStr">
        <is>
          <t>taipei/百科-臺北市重劃區與建案.html</t>
        </is>
      </c>
    </row>
    <row r="122">
      <c r="A122" s="5" t="inlineStr">
        <is>
          <t>③百科頁</t>
        </is>
      </c>
      <c r="B122" s="5" t="inlineStr">
        <is>
          <t>new-taipei/新北市重劃區與建案.html</t>
        </is>
      </c>
      <c r="C122" s="5" t="inlineStr">
        <is>
          <t>新北市重劃區與建案.html</t>
        </is>
      </c>
      <c r="D122" s="5" t="inlineStr">
        <is>
          <t>已存在</t>
        </is>
      </c>
      <c r="E122" s="5" t="inlineStr">
        <is>
          <t>new-taipei/新北市重劃區與建案.html</t>
        </is>
      </c>
    </row>
    <row r="123">
      <c r="A123" s="5" t="inlineStr">
        <is>
          <t>③百科頁</t>
        </is>
      </c>
      <c r="B123" s="5" t="inlineStr">
        <is>
          <t>taoyuan/encyclopedia.html</t>
        </is>
      </c>
      <c r="C123" s="5" t="inlineStr">
        <is>
          <t>encyclopedia.html</t>
        </is>
      </c>
      <c r="D123" s="5" t="inlineStr">
        <is>
          <t>已存在</t>
        </is>
      </c>
      <c r="E123" s="5" t="inlineStr">
        <is>
          <t>taoyuan/encyclopedia.html</t>
        </is>
      </c>
    </row>
    <row r="124">
      <c r="A124" s="5" t="inlineStr">
        <is>
          <t>③百科頁</t>
        </is>
      </c>
      <c r="B124" s="5" t="inlineStr">
        <is>
          <t>taichung/百科-臺中市重劃區與建案.html</t>
        </is>
      </c>
      <c r="C124" s="5" t="inlineStr">
        <is>
          <t>百科-臺中市重劃區與建案.html</t>
        </is>
      </c>
      <c r="D124" s="5" t="inlineStr">
        <is>
          <t>已存在</t>
        </is>
      </c>
      <c r="E124" s="5" t="inlineStr">
        <is>
          <t>taichung/百科-臺中市重劃區與建案.html</t>
        </is>
      </c>
    </row>
    <row r="125">
      <c r="A125" s="5" t="inlineStr">
        <is>
          <t>③百科頁</t>
        </is>
      </c>
      <c r="B125" s="5" t="inlineStr">
        <is>
          <t>tainan/百科-臺南市重劃區與建案.html</t>
        </is>
      </c>
      <c r="C125" s="5" t="inlineStr">
        <is>
          <t>百科-臺南市重劃區與建案.html</t>
        </is>
      </c>
      <c r="D125" s="5" t="inlineStr">
        <is>
          <t>已存在</t>
        </is>
      </c>
      <c r="E125" s="5" t="inlineStr">
        <is>
          <t>tainan/百科-臺南市重劃區與建案.html</t>
        </is>
      </c>
    </row>
    <row r="126">
      <c r="A126" s="5" t="inlineStr">
        <is>
          <t>③百科頁</t>
        </is>
      </c>
      <c r="B126" s="5" t="inlineStr">
        <is>
          <t>kaohsiung/百科-高雄市重劃區與建案.html</t>
        </is>
      </c>
      <c r="C126" s="5" t="inlineStr">
        <is>
          <t>百科-高雄市重劃區與建案.html</t>
        </is>
      </c>
      <c r="D126" s="5" t="inlineStr">
        <is>
          <t>已存在</t>
        </is>
      </c>
      <c r="E126" s="5" t="inlineStr">
        <is>
          <t>kaohsiung/百科-高雄市重劃區與建案.html</t>
        </is>
      </c>
    </row>
    <row r="127">
      <c r="A127" s="5" t="inlineStr">
        <is>
          <t>③百科頁</t>
        </is>
      </c>
      <c r="B127" s="5" t="inlineStr">
        <is>
          <t>keelung/百科-基隆市重劃區與建案.html</t>
        </is>
      </c>
      <c r="C127" s="5" t="inlineStr">
        <is>
          <t>百科-基隆市重劃區與建案.html</t>
        </is>
      </c>
      <c r="D127" s="5" t="inlineStr">
        <is>
          <t>已存在</t>
        </is>
      </c>
      <c r="E127" s="5" t="inlineStr">
        <is>
          <t>keelung/百科-基隆市重劃區與建案.html</t>
        </is>
      </c>
    </row>
    <row r="128">
      <c r="A128" s="5" t="inlineStr">
        <is>
          <t>③百科頁</t>
        </is>
      </c>
      <c r="B128" s="5" t="inlineStr">
        <is>
          <t>hsinchu-city/百科-新竹市重劃區與建案.html</t>
        </is>
      </c>
      <c r="C128" s="5" t="inlineStr">
        <is>
          <t>百科-新竹市重劃區與建案.html</t>
        </is>
      </c>
      <c r="D128" s="5" t="inlineStr">
        <is>
          <t>已存在</t>
        </is>
      </c>
      <c r="E128" s="5" t="inlineStr">
        <is>
          <t>hsinchu-city/百科-新竹市重劃區與建案.html</t>
        </is>
      </c>
    </row>
    <row r="129">
      <c r="A129" s="5" t="inlineStr">
        <is>
          <t>③百科頁</t>
        </is>
      </c>
      <c r="B129" s="5" t="inlineStr">
        <is>
          <t>hsinchu-county/百科-新竹縣重劃區與建案.html</t>
        </is>
      </c>
      <c r="C129" s="5" t="inlineStr">
        <is>
          <t>百科-新竹縣重劃區與建案.html</t>
        </is>
      </c>
      <c r="D129" s="5" t="inlineStr">
        <is>
          <t>已存在</t>
        </is>
      </c>
      <c r="E129" s="5" t="inlineStr">
        <is>
          <t>hsinchu-county/百科-新竹縣重劃區與建案.html</t>
        </is>
      </c>
    </row>
    <row r="130">
      <c r="A130" s="5" t="inlineStr">
        <is>
          <t>③百科頁</t>
        </is>
      </c>
      <c r="B130" s="5" t="inlineStr">
        <is>
          <t>miaoli/百科-苗栗縣重劃區與建案.html</t>
        </is>
      </c>
      <c r="C130" s="5" t="inlineStr">
        <is>
          <t>百科-苗栗縣重劃區與建案.html</t>
        </is>
      </c>
      <c r="D130" s="5" t="inlineStr">
        <is>
          <t>已存在</t>
        </is>
      </c>
      <c r="E130" s="5" t="inlineStr">
        <is>
          <t>miaoli/百科-苗栗縣重劃區與建案.html</t>
        </is>
      </c>
    </row>
    <row r="131">
      <c r="A131" s="5" t="inlineStr">
        <is>
          <t>③百科頁</t>
        </is>
      </c>
      <c r="B131" s="5" t="inlineStr">
        <is>
          <t>yilan/百科-宜蘭縣重劃區與建案.html</t>
        </is>
      </c>
      <c r="C131" s="5" t="inlineStr">
        <is>
          <t>百科-宜蘭縣重劃區與建案.html</t>
        </is>
      </c>
      <c r="D131" s="5" t="inlineStr">
        <is>
          <t>已存在</t>
        </is>
      </c>
      <c r="E131" s="5" t="inlineStr">
        <is>
          <t>yilan/百科-宜蘭縣重劃區與建案.html</t>
        </is>
      </c>
    </row>
    <row r="132">
      <c r="A132" s="5" t="inlineStr">
        <is>
          <t>③百科頁</t>
        </is>
      </c>
      <c r="B132" s="5" t="inlineStr">
        <is>
          <t>changhua/百科-彰化縣重劃區與建案.html</t>
        </is>
      </c>
      <c r="C132" s="5" t="inlineStr">
        <is>
          <t>百科-彰化縣重劃區與建案.html</t>
        </is>
      </c>
      <c r="D132" s="5" t="inlineStr">
        <is>
          <t>已存在</t>
        </is>
      </c>
      <c r="E132" s="5" t="inlineStr">
        <is>
          <t>changhua/百科-彰化縣重劃區與建案.html</t>
        </is>
      </c>
    </row>
    <row r="133">
      <c r="A133" s="5" t="inlineStr">
        <is>
          <t>③百科頁</t>
        </is>
      </c>
      <c r="B133" s="5" t="inlineStr">
        <is>
          <t>nantou/百科-南投縣重劃區與建案.html</t>
        </is>
      </c>
      <c r="C133" s="5" t="inlineStr">
        <is>
          <t>百科-南投縣重劃區與建案.html</t>
        </is>
      </c>
      <c r="D133" s="5" t="inlineStr">
        <is>
          <t>已存在</t>
        </is>
      </c>
      <c r="E133" s="5" t="inlineStr">
        <is>
          <t>nantou/百科-南投縣重劃區與建案.html</t>
        </is>
      </c>
    </row>
    <row r="134">
      <c r="A134" s="5" t="inlineStr">
        <is>
          <t>③百科頁</t>
        </is>
      </c>
      <c r="B134" s="5" t="inlineStr">
        <is>
          <t>yunlin/百科-雲林縣重劃區與建案.html</t>
        </is>
      </c>
      <c r="C134" s="5" t="inlineStr">
        <is>
          <t>百科-雲林縣重劃區與建案.html</t>
        </is>
      </c>
      <c r="D134" s="5" t="inlineStr">
        <is>
          <t>已存在</t>
        </is>
      </c>
      <c r="E134" s="5" t="inlineStr">
        <is>
          <t>yunlin/百科-雲林縣重劃區與建案.html</t>
        </is>
      </c>
    </row>
    <row r="135">
      <c r="A135" s="5" t="inlineStr">
        <is>
          <t>③百科頁</t>
        </is>
      </c>
      <c r="B135" s="5" t="inlineStr">
        <is>
          <t>chiayi-city/百科-嘉義市重劃區與建案.html</t>
        </is>
      </c>
      <c r="C135" s="5" t="inlineStr">
        <is>
          <t>百科-嘉義市重劃區與建案.html</t>
        </is>
      </c>
      <c r="D135" s="5" t="inlineStr">
        <is>
          <t>已存在</t>
        </is>
      </c>
      <c r="E135" s="5" t="inlineStr">
        <is>
          <t>chiayi-city/百科-嘉義市重劃區與建案.html</t>
        </is>
      </c>
    </row>
    <row r="136">
      <c r="A136" s="5" t="inlineStr">
        <is>
          <t>③百科頁</t>
        </is>
      </c>
      <c r="B136" s="5" t="inlineStr">
        <is>
          <t>chiayi-county/百科-嘉義縣重劃區與建案.html</t>
        </is>
      </c>
      <c r="C136" s="5" t="inlineStr">
        <is>
          <t>百科-嘉義縣重劃區與建案.html</t>
        </is>
      </c>
      <c r="D136" s="5" t="inlineStr">
        <is>
          <t>已存在</t>
        </is>
      </c>
      <c r="E136" s="5" t="inlineStr">
        <is>
          <t>chiayi-county/百科-嘉義縣重劃區與建案.html</t>
        </is>
      </c>
    </row>
    <row r="137">
      <c r="A137" s="5" t="inlineStr">
        <is>
          <t>③百科頁</t>
        </is>
      </c>
      <c r="B137" s="5" t="inlineStr">
        <is>
          <t>pingtung/百科-屏東縣重劃區與建案.html</t>
        </is>
      </c>
      <c r="C137" s="5" t="inlineStr">
        <is>
          <t>百科-屏東縣重劃區與建案.html</t>
        </is>
      </c>
      <c r="D137" s="5" t="inlineStr">
        <is>
          <t>已存在</t>
        </is>
      </c>
      <c r="E137" s="5" t="inlineStr">
        <is>
          <t>pingtung/百科-屏東縣重劃區與建案.html</t>
        </is>
      </c>
    </row>
    <row r="138">
      <c r="A138" s="5" t="inlineStr">
        <is>
          <t>③百科頁</t>
        </is>
      </c>
      <c r="B138" s="5" t="inlineStr">
        <is>
          <t>hualien/百科-花蓮縣重劃區與建案.html</t>
        </is>
      </c>
      <c r="C138" s="5" t="inlineStr">
        <is>
          <t>百科-花蓮縣重劃區與建案.html</t>
        </is>
      </c>
      <c r="D138" s="5" t="inlineStr">
        <is>
          <t>已存在</t>
        </is>
      </c>
      <c r="E138" s="5" t="inlineStr">
        <is>
          <t>hualien/百科-花蓮縣重劃區與建案.html</t>
        </is>
      </c>
    </row>
    <row r="139">
      <c r="A139" s="5" t="inlineStr">
        <is>
          <t>③百科頁</t>
        </is>
      </c>
      <c r="B139" s="5" t="inlineStr">
        <is>
          <t>taitung/百科-臺東縣重劃區與建案.html</t>
        </is>
      </c>
      <c r="C139" s="5" t="inlineStr">
        <is>
          <t>百科-臺東縣重劃區與建案.html</t>
        </is>
      </c>
      <c r="D139" s="5" t="inlineStr">
        <is>
          <t>已存在</t>
        </is>
      </c>
      <c r="E139" s="5" t="inlineStr">
        <is>
          <t>taitung/百科-臺東縣重劃區與建案.html</t>
        </is>
      </c>
    </row>
    <row r="140">
      <c r="A140" s="5" t="inlineStr">
        <is>
          <t>③百科頁</t>
        </is>
      </c>
      <c r="B140" s="5" t="inlineStr">
        <is>
          <t>penghu/百科-澎湖縣重劃區與建案.html</t>
        </is>
      </c>
      <c r="C140" s="5" t="inlineStr">
        <is>
          <t>百科-澎湖縣重劃區與建案.html</t>
        </is>
      </c>
      <c r="D140" s="5" t="inlineStr">
        <is>
          <t>已存在</t>
        </is>
      </c>
      <c r="E140" s="5" t="inlineStr">
        <is>
          <t>penghu/百科-澎湖縣重劃區與建案.html</t>
        </is>
      </c>
    </row>
    <row r="141">
      <c r="A141" s="5" t="inlineStr">
        <is>
          <t>③百科頁</t>
        </is>
      </c>
      <c r="B141" s="5" t="inlineStr">
        <is>
          <t>kinmen/百科-金門縣重劃區與建案.html</t>
        </is>
      </c>
      <c r="C141" s="5" t="inlineStr">
        <is>
          <t>百科-金門縣重劃區與建案.html</t>
        </is>
      </c>
      <c r="D141" s="5" t="inlineStr">
        <is>
          <t>已存在</t>
        </is>
      </c>
      <c r="E141" s="5" t="inlineStr">
        <is>
          <t>kinmen/百科-金門縣重劃區與建案.html</t>
        </is>
      </c>
    </row>
    <row r="142">
      <c r="A142" s="5" t="inlineStr">
        <is>
          <t>③百科頁</t>
        </is>
      </c>
      <c r="B142" s="5" t="inlineStr">
        <is>
          <t>lienchiang/百科-連江縣重劃區與建案.html</t>
        </is>
      </c>
      <c r="C142" s="5" t="inlineStr">
        <is>
          <t>百科-連江縣重劃區與建案.html</t>
        </is>
      </c>
      <c r="D142" s="5" t="inlineStr">
        <is>
          <t>已存在</t>
        </is>
      </c>
      <c r="E142" s="5" t="inlineStr">
        <is>
          <t>lienchiang/百科-連江縣重劃區與建案.html</t>
        </is>
      </c>
    </row>
    <row r="143">
      <c r="A143" s="5" t="inlineStr">
        <is>
          <t>④Excel總庫</t>
        </is>
      </c>
      <c r="B143" s="5" t="inlineStr">
        <is>
          <t>台灣22縣市重劃區_全站資料庫.xlsx</t>
        </is>
      </c>
      <c r="C143" s="5" t="inlineStr">
        <is>
          <t>台灣22縣市重劃區_全站資料庫.xlsx</t>
        </is>
      </c>
      <c r="D143" s="5" t="inlineStr">
        <is>
          <t>已存在</t>
        </is>
      </c>
      <c r="E143" s="5" t="inlineStr">
        <is>
          <t>台灣22縣市重劃區_全站資料庫.xlsx</t>
        </is>
      </c>
    </row>
    <row r="144">
      <c r="A144" s="5" t="inlineStr">
        <is>
          <t>④Excel總庫</t>
        </is>
      </c>
      <c r="B144" s="5" t="inlineStr">
        <is>
          <t>台灣22縣市重劃區_全站資料庫_改前快照_20261017.xlsx</t>
        </is>
      </c>
      <c r="C144" s="5" t="inlineStr">
        <is>
          <t>台灣22縣市重劃區_全站資料庫_改前快照_20261017.xlsx</t>
        </is>
      </c>
      <c r="D144" s="5" t="inlineStr">
        <is>
          <t>已存在</t>
        </is>
      </c>
      <c r="E144" s="5" t="inlineStr">
        <is>
          <t>台灣22縣市重劃區_全站資料庫_改前快照_20261017.xlsx</t>
        </is>
      </c>
    </row>
    <row r="145">
      <c r="A145" s="5" t="inlineStr">
        <is>
          <t>④Excel總庫</t>
        </is>
      </c>
      <c r="B145" s="5" t="inlineStr">
        <is>
          <t>台灣22縣市重劃區_全站資料庫_整合版.xlsx</t>
        </is>
      </c>
      <c r="C145" s="5" t="inlineStr">
        <is>
          <t>台灣22縣市重劃區_全站資料庫_整合版.xlsx</t>
        </is>
      </c>
      <c r="D145" s="5" t="inlineStr">
        <is>
          <t>已存在</t>
        </is>
      </c>
      <c r="E145" s="5" t="inlineStr">
        <is>
          <t>台灣22縣市重劃區_全站資料庫_整合版.xlsx</t>
        </is>
      </c>
    </row>
    <row r="146">
      <c r="A146" s="5" t="inlineStr">
        <is>
          <t>④Excel總庫</t>
        </is>
      </c>
      <c r="B146" s="5" t="inlineStr">
        <is>
          <t>台灣22縣市重劃區_全站資料庫_重建分類版.xlsx</t>
        </is>
      </c>
      <c r="C146" s="5" t="inlineStr">
        <is>
          <t>台灣22縣市重劃區_全站資料庫_重建分類版.xlsx</t>
        </is>
      </c>
      <c r="D146" s="5" t="inlineStr">
        <is>
          <t>待產出</t>
        </is>
      </c>
      <c r="E146" s="5" t="inlineStr"/>
    </row>
    <row r="147">
      <c r="A147" s="5" t="inlineStr">
        <is>
          <t>⑤重劃區內頁</t>
        </is>
      </c>
      <c r="B147" s="5" t="inlineStr">
        <is>
          <t>taipei/南港公辦重劃.html</t>
        </is>
      </c>
      <c r="C147" s="5" t="inlineStr">
        <is>
          <t>南港公辦重劃.html</t>
        </is>
      </c>
      <c r="D147" s="5" t="inlineStr">
        <is>
          <t>已存在</t>
        </is>
      </c>
      <c r="E147" s="5" t="inlineStr">
        <is>
          <t>taipei/南港公辦重劃.html</t>
        </is>
      </c>
    </row>
    <row r="148">
      <c r="A148" s="5" t="inlineStr">
        <is>
          <t>⑤重劃區內頁</t>
        </is>
      </c>
      <c r="B148" s="5" t="inlineStr">
        <is>
          <t>taipei/內湖小型公辦重劃.html</t>
        </is>
      </c>
      <c r="C148" s="5" t="inlineStr">
        <is>
          <t>內湖小型公辦重劃.html</t>
        </is>
      </c>
      <c r="D148" s="5" t="inlineStr">
        <is>
          <t>已存在</t>
        </is>
      </c>
      <c r="E148" s="5" t="inlineStr">
        <is>
          <t>taipei/內湖小型公辦重劃.html</t>
        </is>
      </c>
    </row>
    <row r="149">
      <c r="A149" s="5" t="inlineStr">
        <is>
          <t>⑤重劃區內頁</t>
        </is>
      </c>
      <c r="B149" s="5" t="inlineStr">
        <is>
          <t>taipei/零星小型自辦案.html</t>
        </is>
      </c>
      <c r="C149" s="5" t="inlineStr">
        <is>
          <t>零星小型自辦案.html</t>
        </is>
      </c>
      <c r="D149" s="5" t="inlineStr">
        <is>
          <t>待產出</t>
        </is>
      </c>
      <c r="E149" s="5" t="inlineStr"/>
    </row>
    <row r="150">
      <c r="A150" s="5" t="inlineStr">
        <is>
          <t>⑤重劃區內頁</t>
        </is>
      </c>
      <c r="B150" s="5" t="inlineStr">
        <is>
          <t>taipei/西門公辦都更.html</t>
        </is>
      </c>
      <c r="C150" s="5" t="inlineStr">
        <is>
          <t>西門公辦都更.html</t>
        </is>
      </c>
      <c r="D150" s="5" t="inlineStr">
        <is>
          <t>待產出</t>
        </is>
      </c>
      <c r="E150" s="5" t="inlineStr"/>
    </row>
    <row r="151">
      <c r="A151" s="5" t="inlineStr">
        <is>
          <t>⑤重劃區內頁</t>
        </is>
      </c>
      <c r="B151" s="5" t="inlineStr">
        <is>
          <t>taipei/南港公辦都更.html</t>
        </is>
      </c>
      <c r="C151" s="5" t="inlineStr">
        <is>
          <t>南港公辦都更.html</t>
        </is>
      </c>
      <c r="D151" s="5" t="inlineStr">
        <is>
          <t>待產出</t>
        </is>
      </c>
      <c r="E151" s="5" t="inlineStr"/>
    </row>
    <row r="152">
      <c r="A152" s="5" t="inlineStr">
        <is>
          <t>⑤重劃區內頁</t>
        </is>
      </c>
      <c r="B152" s="5" t="inlineStr">
        <is>
          <t>taipei/萬華公辦都更.html</t>
        </is>
      </c>
      <c r="C152" s="5" t="inlineStr">
        <is>
          <t>萬華公辦都更.html</t>
        </is>
      </c>
      <c r="D152" s="5" t="inlineStr">
        <is>
          <t>待產出</t>
        </is>
      </c>
      <c r="E152" s="5" t="inlineStr"/>
    </row>
    <row r="153">
      <c r="A153" s="5" t="inlineStr">
        <is>
          <t>⑤重劃區內頁</t>
        </is>
      </c>
      <c r="B153" s="5" t="inlineStr">
        <is>
          <t>new-taipei/塭仔圳重劃.html</t>
        </is>
      </c>
      <c r="C153" s="5" t="inlineStr">
        <is>
          <t>塭仔圳重劃.html</t>
        </is>
      </c>
      <c r="D153" s="5" t="inlineStr">
        <is>
          <t>待產出</t>
        </is>
      </c>
      <c r="E153" s="5" t="inlineStr"/>
    </row>
    <row r="154">
      <c r="A154" s="5" t="inlineStr">
        <is>
          <t>⑤重劃區內頁</t>
        </is>
      </c>
      <c r="B154" s="5" t="inlineStr">
        <is>
          <t>new-taipei/土城暫緩發展區重劃.html</t>
        </is>
      </c>
      <c r="C154" s="5" t="inlineStr">
        <is>
          <t>土城暫緩發展區重劃.html</t>
        </is>
      </c>
      <c r="D154" s="5" t="inlineStr">
        <is>
          <t>待產出</t>
        </is>
      </c>
      <c r="E154" s="5" t="inlineStr"/>
    </row>
    <row r="155">
      <c r="A155" s="5" t="inlineStr">
        <is>
          <t>⑤重劃區內頁</t>
        </is>
      </c>
      <c r="B155" s="5" t="inlineStr">
        <is>
          <t>new-taipei/板橋浮洲重劃.html</t>
        </is>
      </c>
      <c r="C155" s="5" t="inlineStr">
        <is>
          <t>板橋浮洲重劃.html</t>
        </is>
      </c>
      <c r="D155" s="5" t="inlineStr">
        <is>
          <t>待產出</t>
        </is>
      </c>
      <c r="E155" s="5" t="inlineStr"/>
    </row>
    <row r="156">
      <c r="A156" s="5" t="inlineStr">
        <is>
          <t>⑤重劃區內頁</t>
        </is>
      </c>
      <c r="B156" s="5" t="inlineStr">
        <is>
          <t>new-taipei/其他中小型公辦案.html</t>
        </is>
      </c>
      <c r="C156" s="5" t="inlineStr">
        <is>
          <t>其他中小型公辦案.html</t>
        </is>
      </c>
      <c r="D156" s="5" t="inlineStr">
        <is>
          <t>待產出</t>
        </is>
      </c>
      <c r="E156" s="5" t="inlineStr"/>
    </row>
    <row r="157">
      <c r="A157" s="5" t="inlineStr">
        <is>
          <t>⑤重劃區內頁</t>
        </is>
      </c>
      <c r="B157" s="5" t="inlineStr">
        <is>
          <t>new-taipei/三峽自辦重劃群.html</t>
        </is>
      </c>
      <c r="C157" s="5" t="inlineStr">
        <is>
          <t>三峽自辦重劃群.html</t>
        </is>
      </c>
      <c r="D157" s="5" t="inlineStr">
        <is>
          <t>待產出</t>
        </is>
      </c>
      <c r="E157" s="5" t="inlineStr"/>
    </row>
    <row r="158">
      <c r="A158" s="5" t="inlineStr">
        <is>
          <t>⑤重劃區內頁</t>
        </is>
      </c>
      <c r="B158" s="5" t="inlineStr">
        <is>
          <t>new-taipei/中和自辦重劃.html</t>
        </is>
      </c>
      <c r="C158" s="5" t="inlineStr">
        <is>
          <t>中和自辦重劃.html</t>
        </is>
      </c>
      <c r="D158" s="5" t="inlineStr">
        <is>
          <t>待產出</t>
        </is>
      </c>
      <c r="E158" s="5" t="inlineStr"/>
    </row>
    <row r="159">
      <c r="A159" s="5" t="inlineStr">
        <is>
          <t>⑤重劃區內頁</t>
        </is>
      </c>
      <c r="B159" s="5" t="inlineStr">
        <is>
          <t>new-taipei/樹林自辦重劃.html</t>
        </is>
      </c>
      <c r="C159" s="5" t="inlineStr">
        <is>
          <t>樹林自辦重劃.html</t>
        </is>
      </c>
      <c r="D159" s="5" t="inlineStr">
        <is>
          <t>待產出</t>
        </is>
      </c>
      <c r="E159" s="5" t="inlineStr"/>
    </row>
    <row r="160">
      <c r="A160" s="5" t="inlineStr">
        <is>
          <t>⑤重劃區內頁</t>
        </is>
      </c>
      <c r="B160" s="5" t="inlineStr">
        <is>
          <t>new-taipei/林口新市鎮.html</t>
        </is>
      </c>
      <c r="C160" s="5" t="inlineStr">
        <is>
          <t>林口新市鎮.html</t>
        </is>
      </c>
      <c r="D160" s="5" t="inlineStr">
        <is>
          <t>待產出</t>
        </is>
      </c>
      <c r="E160" s="5" t="inlineStr"/>
    </row>
    <row r="161">
      <c r="A161" s="5" t="inlineStr">
        <is>
          <t>⑤重劃區內頁</t>
        </is>
      </c>
      <c r="B161" s="5" t="inlineStr">
        <is>
          <t>new-taipei/淡海新市鎮.html</t>
        </is>
      </c>
      <c r="C161" s="5" t="inlineStr">
        <is>
          <t>淡海新市鎮.html</t>
        </is>
      </c>
      <c r="D161" s="5" t="inlineStr">
        <is>
          <t>待產出</t>
        </is>
      </c>
      <c r="E161" s="5" t="inlineStr"/>
    </row>
    <row r="162">
      <c r="A162" s="5" t="inlineStr">
        <is>
          <t>⑤重劃區內頁</t>
        </is>
      </c>
      <c r="B162" s="5" t="inlineStr">
        <is>
          <t>new-taipei/二重疏洪道區段徵收.html</t>
        </is>
      </c>
      <c r="C162" s="5" t="inlineStr">
        <is>
          <t>二重疏洪道區段徵收.html</t>
        </is>
      </c>
      <c r="D162" s="5" t="inlineStr">
        <is>
          <t>待產出</t>
        </is>
      </c>
      <c r="E162" s="5" t="inlineStr"/>
    </row>
    <row r="163">
      <c r="A163" s="5" t="inlineStr">
        <is>
          <t>⑤重劃區內頁</t>
        </is>
      </c>
      <c r="B163" s="5" t="inlineStr">
        <is>
          <t>new-taipei/板橋舊市區公辦都更.html</t>
        </is>
      </c>
      <c r="C163" s="5" t="inlineStr">
        <is>
          <t>板橋舊市區公辦都更.html</t>
        </is>
      </c>
      <c r="D163" s="5" t="inlineStr">
        <is>
          <t>待產出</t>
        </is>
      </c>
      <c r="E163" s="5" t="inlineStr"/>
    </row>
    <row r="164">
      <c r="A164" s="5" t="inlineStr">
        <is>
          <t>⑤重劃區內頁</t>
        </is>
      </c>
      <c r="B164" s="5" t="inlineStr">
        <is>
          <t>taoyuan/八德擴大重劃.html</t>
        </is>
      </c>
      <c r="C164" s="5" t="inlineStr">
        <is>
          <t>八德擴大重劃.html</t>
        </is>
      </c>
      <c r="D164" s="5" t="inlineStr">
        <is>
          <t>待產出</t>
        </is>
      </c>
      <c r="E164" s="5" t="inlineStr"/>
    </row>
    <row r="165">
      <c r="A165" s="5" t="inlineStr">
        <is>
          <t>⑤重劃區內頁</t>
        </is>
      </c>
      <c r="B165" s="5" t="inlineStr">
        <is>
          <t>taoyuan/平鎮公辦重劃.html</t>
        </is>
      </c>
      <c r="C165" s="5" t="inlineStr">
        <is>
          <t>平鎮公辦重劃.html</t>
        </is>
      </c>
      <c r="D165" s="5" t="inlineStr">
        <is>
          <t>待產出</t>
        </is>
      </c>
      <c r="E165" s="5" t="inlineStr"/>
    </row>
    <row r="166">
      <c r="A166" s="5" t="inlineStr">
        <is>
          <t>⑤重劃區內頁</t>
        </is>
      </c>
      <c r="B166" s="5" t="inlineStr">
        <is>
          <t>taoyuan/楊梅公辦重劃.html</t>
        </is>
      </c>
      <c r="C166" s="5" t="inlineStr">
        <is>
          <t>楊梅公辦重劃.html</t>
        </is>
      </c>
      <c r="D166" s="5" t="inlineStr">
        <is>
          <t>待產出</t>
        </is>
      </c>
      <c r="E166" s="5" t="inlineStr"/>
    </row>
    <row r="167">
      <c r="A167" s="5" t="inlineStr">
        <is>
          <t>⑤重劃區內頁</t>
        </is>
      </c>
      <c r="B167" s="5" t="inlineStr">
        <is>
          <t>taoyuan/其他公辦案.html</t>
        </is>
      </c>
      <c r="C167" s="5" t="inlineStr">
        <is>
          <t>其他公辦案.html</t>
        </is>
      </c>
      <c r="D167" s="5" t="inlineStr">
        <is>
          <t>待產出</t>
        </is>
      </c>
      <c r="E167" s="5" t="inlineStr"/>
    </row>
    <row r="168">
      <c r="A168" s="5" t="inlineStr">
        <is>
          <t>⑤重劃區內頁</t>
        </is>
      </c>
      <c r="B168" s="5" t="inlineStr">
        <is>
          <t>taoyuan/中壢自辦重劃群.html</t>
        </is>
      </c>
      <c r="C168" s="5" t="inlineStr">
        <is>
          <t>中壢自辦重劃群.html</t>
        </is>
      </c>
      <c r="D168" s="5" t="inlineStr">
        <is>
          <t>待產出</t>
        </is>
      </c>
      <c r="E168" s="5" t="inlineStr"/>
    </row>
    <row r="169">
      <c r="A169" s="5" t="inlineStr">
        <is>
          <t>⑤重劃區內頁</t>
        </is>
      </c>
      <c r="B169" s="5" t="inlineStr">
        <is>
          <t>taoyuan/蘆竹自辦重劃.html</t>
        </is>
      </c>
      <c r="C169" s="5" t="inlineStr">
        <is>
          <t>蘆竹自辦重劃.html</t>
        </is>
      </c>
      <c r="D169" s="5" t="inlineStr">
        <is>
          <t>待產出</t>
        </is>
      </c>
      <c r="E169" s="5" t="inlineStr"/>
    </row>
    <row r="170">
      <c r="A170" s="5" t="inlineStr">
        <is>
          <t>⑤重劃區內頁</t>
        </is>
      </c>
      <c r="B170" s="5" t="inlineStr">
        <is>
          <t>taoyuan/桃園航空城.html</t>
        </is>
      </c>
      <c r="C170" s="5" t="inlineStr">
        <is>
          <t>桃園航空城.html</t>
        </is>
      </c>
      <c r="D170" s="5" t="inlineStr">
        <is>
          <t>待產出</t>
        </is>
      </c>
      <c r="E170" s="5" t="inlineStr"/>
    </row>
    <row r="171">
      <c r="A171" s="5" t="inlineStr">
        <is>
          <t>⑤重劃區內頁</t>
        </is>
      </c>
      <c r="B171" s="5" t="inlineStr">
        <is>
          <t>taoyuan/青埔高鐵特區.html</t>
        </is>
      </c>
      <c r="C171" s="5" t="inlineStr">
        <is>
          <t>青埔高鐵特區.html</t>
        </is>
      </c>
      <c r="D171" s="5" t="inlineStr">
        <is>
          <t>待產出</t>
        </is>
      </c>
      <c r="E171" s="5" t="inlineStr"/>
    </row>
    <row r="172">
      <c r="A172" s="5" t="inlineStr">
        <is>
          <t>⑤重劃區內頁</t>
        </is>
      </c>
      <c r="B172" s="5" t="inlineStr">
        <is>
          <t>taoyuan/中路區段徵收.html</t>
        </is>
      </c>
      <c r="C172" s="5" t="inlineStr">
        <is>
          <t>中路區段徵收.html</t>
        </is>
      </c>
      <c r="D172" s="5" t="inlineStr">
        <is>
          <t>待產出</t>
        </is>
      </c>
      <c r="E172" s="5" t="inlineStr"/>
    </row>
    <row r="173">
      <c r="A173" s="5" t="inlineStr">
        <is>
          <t>⑤重劃區內頁</t>
        </is>
      </c>
      <c r="B173" s="5" t="inlineStr">
        <is>
          <t>taoyuan/大園區段徵收.html</t>
        </is>
      </c>
      <c r="C173" s="5" t="inlineStr">
        <is>
          <t>大園區段徵收.html</t>
        </is>
      </c>
      <c r="D173" s="5" t="inlineStr">
        <is>
          <t>待產出</t>
        </is>
      </c>
      <c r="E173" s="5" t="inlineStr"/>
    </row>
    <row r="174">
      <c r="A174" s="5" t="inlineStr">
        <is>
          <t>⑤重劃區內頁</t>
        </is>
      </c>
      <c r="B174" s="5" t="inlineStr">
        <is>
          <t>taoyuan/舊市區零星都更.html</t>
        </is>
      </c>
      <c r="C174" s="5" t="inlineStr">
        <is>
          <t>舊市區零星都更.html</t>
        </is>
      </c>
      <c r="D174" s="5" t="inlineStr">
        <is>
          <t>待產出</t>
        </is>
      </c>
      <c r="E174" s="5" t="inlineStr"/>
    </row>
    <row r="175">
      <c r="A175" s="5" t="inlineStr">
        <is>
          <t>⑤重劃區內頁</t>
        </is>
      </c>
      <c r="B175" s="5" t="inlineStr">
        <is>
          <t>taichung/1期重劃.html</t>
        </is>
      </c>
      <c r="C175" s="5" t="inlineStr">
        <is>
          <t>1期重劃.html</t>
        </is>
      </c>
      <c r="D175" s="5" t="inlineStr">
        <is>
          <t>待產出</t>
        </is>
      </c>
      <c r="E175" s="5" t="inlineStr"/>
    </row>
    <row r="176">
      <c r="A176" s="5" t="inlineStr">
        <is>
          <t>⑤重劃區內頁</t>
        </is>
      </c>
      <c r="B176" s="5" t="inlineStr">
        <is>
          <t>taichung/2期重劃.html</t>
        </is>
      </c>
      <c r="C176" s="5" t="inlineStr">
        <is>
          <t>2期重劃.html</t>
        </is>
      </c>
      <c r="D176" s="5" t="inlineStr">
        <is>
          <t>待產出</t>
        </is>
      </c>
      <c r="E176" s="5" t="inlineStr"/>
    </row>
    <row r="177">
      <c r="A177" s="5" t="inlineStr">
        <is>
          <t>⑤重劃區內頁</t>
        </is>
      </c>
      <c r="B177" s="5" t="inlineStr">
        <is>
          <t>taichung/3期重劃.html</t>
        </is>
      </c>
      <c r="C177" s="5" t="inlineStr">
        <is>
          <t>3期重劃.html</t>
        </is>
      </c>
      <c r="D177" s="5" t="inlineStr">
        <is>
          <t>待產出</t>
        </is>
      </c>
      <c r="E177" s="5" t="inlineStr"/>
    </row>
    <row r="178">
      <c r="A178" s="5" t="inlineStr">
        <is>
          <t>⑤重劃區內頁</t>
        </is>
      </c>
      <c r="B178" s="5" t="inlineStr">
        <is>
          <t>taichung/4期重劃.html</t>
        </is>
      </c>
      <c r="C178" s="5" t="inlineStr">
        <is>
          <t>4期重劃.html</t>
        </is>
      </c>
      <c r="D178" s="5" t="inlineStr">
        <is>
          <t>待產出</t>
        </is>
      </c>
      <c r="E178" s="5" t="inlineStr"/>
    </row>
    <row r="179">
      <c r="A179" s="5" t="inlineStr">
        <is>
          <t>⑤重劃區內頁</t>
        </is>
      </c>
      <c r="B179" s="5" t="inlineStr">
        <is>
          <t>taichung/5期重劃.html</t>
        </is>
      </c>
      <c r="C179" s="5" t="inlineStr">
        <is>
          <t>5期重劃.html</t>
        </is>
      </c>
      <c r="D179" s="5" t="inlineStr">
        <is>
          <t>待產出</t>
        </is>
      </c>
      <c r="E179" s="5" t="inlineStr"/>
    </row>
    <row r="180">
      <c r="A180" s="5" t="inlineStr">
        <is>
          <t>⑤重劃區內頁</t>
        </is>
      </c>
      <c r="B180" s="5" t="inlineStr">
        <is>
          <t>taichung/6期重劃.html</t>
        </is>
      </c>
      <c r="C180" s="5" t="inlineStr">
        <is>
          <t>6期重劃.html</t>
        </is>
      </c>
      <c r="D180" s="5" t="inlineStr">
        <is>
          <t>待產出</t>
        </is>
      </c>
      <c r="E180" s="5" t="inlineStr"/>
    </row>
    <row r="181">
      <c r="A181" s="5" t="inlineStr">
        <is>
          <t>⑤重劃區內頁</t>
        </is>
      </c>
      <c r="B181" s="5" t="inlineStr">
        <is>
          <t>taichung/7期重劃.html</t>
        </is>
      </c>
      <c r="C181" s="5" t="inlineStr">
        <is>
          <t>7期重劃.html</t>
        </is>
      </c>
      <c r="D181" s="5" t="inlineStr">
        <is>
          <t>待產出</t>
        </is>
      </c>
      <c r="E181" s="5" t="inlineStr"/>
    </row>
    <row r="182">
      <c r="A182" s="5" t="inlineStr">
        <is>
          <t>⑤重劃區內頁</t>
        </is>
      </c>
      <c r="B182" s="5" t="inlineStr">
        <is>
          <t>taichung/8期重劃.html</t>
        </is>
      </c>
      <c r="C182" s="5" t="inlineStr">
        <is>
          <t>8期重劃.html</t>
        </is>
      </c>
      <c r="D182" s="5" t="inlineStr">
        <is>
          <t>待產出</t>
        </is>
      </c>
      <c r="E182" s="5" t="inlineStr"/>
    </row>
    <row r="183">
      <c r="A183" s="5" t="inlineStr">
        <is>
          <t>⑤重劃區內頁</t>
        </is>
      </c>
      <c r="B183" s="5" t="inlineStr">
        <is>
          <t>taichung/9期重劃.html</t>
        </is>
      </c>
      <c r="C183" s="5" t="inlineStr">
        <is>
          <t>9期重劃.html</t>
        </is>
      </c>
      <c r="D183" s="5" t="inlineStr">
        <is>
          <t>待產出</t>
        </is>
      </c>
      <c r="E183" s="5" t="inlineStr"/>
    </row>
    <row r="184">
      <c r="A184" s="5" t="inlineStr">
        <is>
          <t>⑤重劃區內頁</t>
        </is>
      </c>
      <c r="B184" s="5" t="inlineStr">
        <is>
          <t>taichung/10期重劃.html</t>
        </is>
      </c>
      <c r="C184" s="5" t="inlineStr">
        <is>
          <t>10期重劃.html</t>
        </is>
      </c>
      <c r="D184" s="5" t="inlineStr">
        <is>
          <t>待產出</t>
        </is>
      </c>
      <c r="E184" s="5" t="inlineStr"/>
    </row>
    <row r="185">
      <c r="A185" s="5" t="inlineStr">
        <is>
          <t>⑤重劃區內頁</t>
        </is>
      </c>
      <c r="B185" s="5" t="inlineStr">
        <is>
          <t>taichung/11期重劃.html</t>
        </is>
      </c>
      <c r="C185" s="5" t="inlineStr">
        <is>
          <t>11期重劃.html</t>
        </is>
      </c>
      <c r="D185" s="5" t="inlineStr">
        <is>
          <t>待產出</t>
        </is>
      </c>
      <c r="E185" s="5" t="inlineStr"/>
    </row>
    <row r="186">
      <c r="A186" s="5" t="inlineStr">
        <is>
          <t>⑤重劃區內頁</t>
        </is>
      </c>
      <c r="B186" s="5" t="inlineStr">
        <is>
          <t>taichung/12期重劃.html</t>
        </is>
      </c>
      <c r="C186" s="5" t="inlineStr">
        <is>
          <t>12期重劃.html</t>
        </is>
      </c>
      <c r="D186" s="5" t="inlineStr">
        <is>
          <t>待產出</t>
        </is>
      </c>
      <c r="E186" s="5" t="inlineStr"/>
    </row>
    <row r="187">
      <c r="A187" s="5" t="inlineStr">
        <is>
          <t>⑤重劃區內頁</t>
        </is>
      </c>
      <c r="B187" s="5" t="inlineStr">
        <is>
          <t>taichung/13期重劃.html</t>
        </is>
      </c>
      <c r="C187" s="5" t="inlineStr">
        <is>
          <t>13期重劃.html</t>
        </is>
      </c>
      <c r="D187" s="5" t="inlineStr">
        <is>
          <t>待產出</t>
        </is>
      </c>
      <c r="E187" s="5" t="inlineStr"/>
    </row>
    <row r="188">
      <c r="A188" s="5" t="inlineStr">
        <is>
          <t>⑤重劃區內頁</t>
        </is>
      </c>
      <c r="B188" s="5" t="inlineStr">
        <is>
          <t>taichung/14期重劃.html</t>
        </is>
      </c>
      <c r="C188" s="5" t="inlineStr">
        <is>
          <t>14期重劃.html</t>
        </is>
      </c>
      <c r="D188" s="5" t="inlineStr">
        <is>
          <t>待產出</t>
        </is>
      </c>
      <c r="E188" s="5" t="inlineStr"/>
    </row>
    <row r="189">
      <c r="A189" s="5" t="inlineStr">
        <is>
          <t>⑤重劃區內頁</t>
        </is>
      </c>
      <c r="B189" s="5" t="inlineStr">
        <is>
          <t>taichung/太平公辦重劃.html</t>
        </is>
      </c>
      <c r="C189" s="5" t="inlineStr">
        <is>
          <t>太平公辦重劃.html</t>
        </is>
      </c>
      <c r="D189" s="5" t="inlineStr">
        <is>
          <t>待產出</t>
        </is>
      </c>
      <c r="E189" s="5" t="inlineStr"/>
    </row>
    <row r="190">
      <c r="A190" s="5" t="inlineStr">
        <is>
          <t>⑤重劃區內頁</t>
        </is>
      </c>
      <c r="B190" s="5" t="inlineStr">
        <is>
          <t>taichung/烏日公辦重劃.html</t>
        </is>
      </c>
      <c r="C190" s="5" t="inlineStr">
        <is>
          <t>烏日公辦重劃.html</t>
        </is>
      </c>
      <c r="D190" s="5" t="inlineStr">
        <is>
          <t>待產出</t>
        </is>
      </c>
      <c r="E190" s="5" t="inlineStr"/>
    </row>
    <row r="191">
      <c r="A191" s="5" t="inlineStr">
        <is>
          <t>⑤重劃區內頁</t>
        </is>
      </c>
      <c r="B191" s="5" t="inlineStr">
        <is>
          <t>taichung/霧峰公辦重劃.html</t>
        </is>
      </c>
      <c r="C191" s="5" t="inlineStr">
        <is>
          <t>霧峰公辦重劃.html</t>
        </is>
      </c>
      <c r="D191" s="5" t="inlineStr">
        <is>
          <t>待產出</t>
        </is>
      </c>
      <c r="E191" s="5" t="inlineStr"/>
    </row>
    <row r="192">
      <c r="A192" s="5" t="inlineStr">
        <is>
          <t>⑤重劃區內頁</t>
        </is>
      </c>
      <c r="B192" s="5" t="inlineStr">
        <is>
          <t>taichung/沙鹿公辦重劃.html</t>
        </is>
      </c>
      <c r="C192" s="5" t="inlineStr">
        <is>
          <t>沙鹿公辦重劃.html</t>
        </is>
      </c>
      <c r="D192" s="5" t="inlineStr">
        <is>
          <t>待產出</t>
        </is>
      </c>
      <c r="E192" s="5" t="inlineStr"/>
    </row>
    <row r="193">
      <c r="A193" s="5" t="inlineStr">
        <is>
          <t>⑤重劃區內頁</t>
        </is>
      </c>
      <c r="B193" s="5" t="inlineStr">
        <is>
          <t>taichung/豐原公辦重劃.html</t>
        </is>
      </c>
      <c r="C193" s="5" t="inlineStr">
        <is>
          <t>豐原公辦重劃.html</t>
        </is>
      </c>
      <c r="D193" s="5" t="inlineStr">
        <is>
          <t>待產出</t>
        </is>
      </c>
      <c r="E193" s="5" t="inlineStr"/>
    </row>
    <row r="194">
      <c r="A194" s="5" t="inlineStr">
        <is>
          <t>⑤重劃區內頁</t>
        </is>
      </c>
      <c r="B194" s="5" t="inlineStr">
        <is>
          <t>taichung/大里自辦重劃.html</t>
        </is>
      </c>
      <c r="C194" s="5" t="inlineStr">
        <is>
          <t>大里自辦重劃.html</t>
        </is>
      </c>
      <c r="D194" s="5" t="inlineStr">
        <is>
          <t>待產出</t>
        </is>
      </c>
      <c r="E194" s="5" t="inlineStr"/>
    </row>
    <row r="195">
      <c r="A195" s="5" t="inlineStr">
        <is>
          <t>⑤重劃區內頁</t>
        </is>
      </c>
      <c r="B195" s="5" t="inlineStr">
        <is>
          <t>taichung/大雅自辦重劃.html</t>
        </is>
      </c>
      <c r="C195" s="5" t="inlineStr">
        <is>
          <t>大雅自辦重劃.html</t>
        </is>
      </c>
      <c r="D195" s="5" t="inlineStr">
        <is>
          <t>待產出</t>
        </is>
      </c>
      <c r="E195" s="5" t="inlineStr"/>
    </row>
    <row r="196">
      <c r="A196" s="5" t="inlineStr">
        <is>
          <t>⑤重劃區內頁</t>
        </is>
      </c>
      <c r="B196" s="5" t="inlineStr">
        <is>
          <t>taichung/其他鄉鎮自辦案.html</t>
        </is>
      </c>
      <c r="C196" s="5" t="inlineStr">
        <is>
          <t>其他鄉鎮自辦案.html</t>
        </is>
      </c>
      <c r="D196" s="5" t="inlineStr">
        <is>
          <t>待產出</t>
        </is>
      </c>
      <c r="E196" s="5" t="inlineStr"/>
    </row>
    <row r="197">
      <c r="A197" s="5" t="inlineStr">
        <is>
          <t>⑤重劃區內頁</t>
        </is>
      </c>
      <c r="B197" s="5" t="inlineStr">
        <is>
          <t>taichung/水湳智慧城（區段徵收）.html</t>
        </is>
      </c>
      <c r="C197" s="5" t="inlineStr">
        <is>
          <t>水湳智慧城（區段徵收）.html</t>
        </is>
      </c>
      <c r="D197" s="5" t="inlineStr">
        <is>
          <t>待產出</t>
        </is>
      </c>
      <c r="E197" s="5" t="inlineStr"/>
    </row>
    <row r="198">
      <c r="A198" s="5" t="inlineStr">
        <is>
          <t>⑤重劃區內頁</t>
        </is>
      </c>
      <c r="B198" s="5" t="inlineStr">
        <is>
          <t>taichung/舊市區零星都更.html</t>
        </is>
      </c>
      <c r="C198" s="5" t="inlineStr">
        <is>
          <t>舊市區零星都更.html</t>
        </is>
      </c>
      <c r="D198" s="5" t="inlineStr">
        <is>
          <t>待產出</t>
        </is>
      </c>
      <c r="E198" s="5" t="inlineStr"/>
    </row>
    <row r="199">
      <c r="A199" s="5" t="inlineStr">
        <is>
          <t>⑤重劃區內頁</t>
        </is>
      </c>
      <c r="B199" s="5" t="inlineStr">
        <is>
          <t>tainan/東區重劃.html</t>
        </is>
      </c>
      <c r="C199" s="5" t="inlineStr">
        <is>
          <t>東區重劃.html</t>
        </is>
      </c>
      <c r="D199" s="5" t="inlineStr">
        <is>
          <t>待產出</t>
        </is>
      </c>
      <c r="E199" s="5" t="inlineStr"/>
    </row>
    <row r="200">
      <c r="A200" s="5" t="inlineStr">
        <is>
          <t>⑤重劃區內頁</t>
        </is>
      </c>
      <c r="B200" s="5" t="inlineStr">
        <is>
          <t>tainan/永康公辦重劃.html</t>
        </is>
      </c>
      <c r="C200" s="5" t="inlineStr">
        <is>
          <t>永康公辦重劃.html</t>
        </is>
      </c>
      <c r="D200" s="5" t="inlineStr">
        <is>
          <t>待產出</t>
        </is>
      </c>
      <c r="E200" s="5" t="inlineStr"/>
    </row>
    <row r="201">
      <c r="A201" s="5" t="inlineStr">
        <is>
          <t>⑤重劃區內頁</t>
        </is>
      </c>
      <c r="B201" s="5" t="inlineStr">
        <is>
          <t>tainan/歸仁公辦重劃.html</t>
        </is>
      </c>
      <c r="C201" s="5" t="inlineStr">
        <is>
          <t>歸仁公辦重劃.html</t>
        </is>
      </c>
      <c r="D201" s="5" t="inlineStr">
        <is>
          <t>待產出</t>
        </is>
      </c>
      <c r="E201" s="5" t="inlineStr"/>
    </row>
    <row r="202">
      <c r="A202" s="5" t="inlineStr">
        <is>
          <t>⑤重劃區內頁</t>
        </is>
      </c>
      <c r="B202" s="5" t="inlineStr">
        <is>
          <t>tainan/仁德公辦重劃.html</t>
        </is>
      </c>
      <c r="C202" s="5" t="inlineStr">
        <is>
          <t>仁德公辦重劃.html</t>
        </is>
      </c>
      <c r="D202" s="5" t="inlineStr">
        <is>
          <t>待產出</t>
        </is>
      </c>
      <c r="E202" s="5" t="inlineStr"/>
    </row>
    <row r="203">
      <c r="A203" s="5" t="inlineStr">
        <is>
          <t>⑤重劃區內頁</t>
        </is>
      </c>
      <c r="B203" s="5" t="inlineStr">
        <is>
          <t>tainan/其他公辦案.html</t>
        </is>
      </c>
      <c r="C203" s="5" t="inlineStr">
        <is>
          <t>其他公辦案.html</t>
        </is>
      </c>
      <c r="D203" s="5" t="inlineStr">
        <is>
          <t>待產出</t>
        </is>
      </c>
      <c r="E203" s="5" t="inlineStr"/>
    </row>
    <row r="204">
      <c r="A204" s="5" t="inlineStr">
        <is>
          <t>⑤重劃區內頁</t>
        </is>
      </c>
      <c r="B204" s="5" t="inlineStr">
        <is>
          <t>tainan/安南自辦重劃群.html</t>
        </is>
      </c>
      <c r="C204" s="5" t="inlineStr">
        <is>
          <t>安南自辦重劃群.html</t>
        </is>
      </c>
      <c r="D204" s="5" t="inlineStr">
        <is>
          <t>待產出</t>
        </is>
      </c>
      <c r="E204" s="5" t="inlineStr"/>
    </row>
    <row r="205">
      <c r="A205" s="5" t="inlineStr">
        <is>
          <t>⑤重劃區內頁</t>
        </is>
      </c>
      <c r="B205" s="5" t="inlineStr">
        <is>
          <t>tainan/其他鄉鎮自辦案.html</t>
        </is>
      </c>
      <c r="C205" s="5" t="inlineStr">
        <is>
          <t>其他鄉鎮自辦案.html</t>
        </is>
      </c>
      <c r="D205" s="5" t="inlineStr">
        <is>
          <t>待產出</t>
        </is>
      </c>
      <c r="E205" s="5" t="inlineStr"/>
    </row>
    <row r="206">
      <c r="A206" s="5" t="inlineStr">
        <is>
          <t>⑤重劃區內頁</t>
        </is>
      </c>
      <c r="B206" s="5" t="inlineStr">
        <is>
          <t>tainan/九份子特區.html</t>
        </is>
      </c>
      <c r="C206" s="5" t="inlineStr">
        <is>
          <t>九份子特區.html</t>
        </is>
      </c>
      <c r="D206" s="5" t="inlineStr">
        <is>
          <t>待產出</t>
        </is>
      </c>
      <c r="E206" s="5" t="inlineStr"/>
    </row>
    <row r="207">
      <c r="A207" s="5" t="inlineStr">
        <is>
          <t>⑤重劃區內頁</t>
        </is>
      </c>
      <c r="B207" s="5" t="inlineStr">
        <is>
          <t>tainan/南科特定區.html</t>
        </is>
      </c>
      <c r="C207" s="5" t="inlineStr">
        <is>
          <t>南科特定區.html</t>
        </is>
      </c>
      <c r="D207" s="5" t="inlineStr">
        <is>
          <t>待產出</t>
        </is>
      </c>
      <c r="E207" s="5" t="inlineStr"/>
    </row>
    <row r="208">
      <c r="A208" s="5" t="inlineStr">
        <is>
          <t>⑤重劃區內頁</t>
        </is>
      </c>
      <c r="B208" s="5" t="inlineStr">
        <is>
          <t>tainan/善化區段徵收.html</t>
        </is>
      </c>
      <c r="C208" s="5" t="inlineStr">
        <is>
          <t>善化區段徵收.html</t>
        </is>
      </c>
      <c r="D208" s="5" t="inlineStr">
        <is>
          <t>待產出</t>
        </is>
      </c>
      <c r="E208" s="5" t="inlineStr"/>
    </row>
    <row r="209">
      <c r="A209" s="5" t="inlineStr">
        <is>
          <t>⑤重劃區內頁</t>
        </is>
      </c>
      <c r="B209" s="5" t="inlineStr">
        <is>
          <t>tainan/舊市區零星都更.html</t>
        </is>
      </c>
      <c r="C209" s="5" t="inlineStr">
        <is>
          <t>舊市區零星都更.html</t>
        </is>
      </c>
      <c r="D209" s="5" t="inlineStr">
        <is>
          <t>待產出</t>
        </is>
      </c>
      <c r="E209" s="5" t="inlineStr"/>
    </row>
    <row r="210">
      <c r="A210" s="5" t="inlineStr">
        <is>
          <t>⑤重劃區內頁</t>
        </is>
      </c>
      <c r="B210" s="5" t="inlineStr">
        <is>
          <t>kaohsiung/鳳山公辦重劃.html</t>
        </is>
      </c>
      <c r="C210" s="5" t="inlineStr">
        <is>
          <t>鳳山公辦重劃.html</t>
        </is>
      </c>
      <c r="D210" s="5" t="inlineStr">
        <is>
          <t>待產出</t>
        </is>
      </c>
      <c r="E210" s="5" t="inlineStr"/>
    </row>
    <row r="211">
      <c r="A211" s="5" t="inlineStr">
        <is>
          <t>⑤重劃區內頁</t>
        </is>
      </c>
      <c r="B211" s="5" t="inlineStr">
        <is>
          <t>kaohsiung/岡山公辦重劃.html</t>
        </is>
      </c>
      <c r="C211" s="5" t="inlineStr">
        <is>
          <t>岡山公辦重劃.html</t>
        </is>
      </c>
      <c r="D211" s="5" t="inlineStr">
        <is>
          <t>待產出</t>
        </is>
      </c>
      <c r="E211" s="5" t="inlineStr"/>
    </row>
    <row r="212">
      <c r="A212" s="5" t="inlineStr">
        <is>
          <t>⑤重劃區內頁</t>
        </is>
      </c>
      <c r="B212" s="5" t="inlineStr">
        <is>
          <t>kaohsiung/大寮公辦重劃.html</t>
        </is>
      </c>
      <c r="C212" s="5" t="inlineStr">
        <is>
          <t>大寮公辦重劃.html</t>
        </is>
      </c>
      <c r="D212" s="5" t="inlineStr">
        <is>
          <t>待產出</t>
        </is>
      </c>
      <c r="E212" s="5" t="inlineStr"/>
    </row>
    <row r="213">
      <c r="A213" s="5" t="inlineStr">
        <is>
          <t>⑤重劃區內頁</t>
        </is>
      </c>
      <c r="B213" s="5" t="inlineStr">
        <is>
          <t>kaohsiung/路竹公辦重劃.html</t>
        </is>
      </c>
      <c r="C213" s="5" t="inlineStr">
        <is>
          <t>路竹公辦重劃.html</t>
        </is>
      </c>
      <c r="D213" s="5" t="inlineStr">
        <is>
          <t>待產出</t>
        </is>
      </c>
      <c r="E213" s="5" t="inlineStr"/>
    </row>
    <row r="214">
      <c r="A214" s="5" t="inlineStr">
        <is>
          <t>⑤重劃區內頁</t>
        </is>
      </c>
      <c r="B214" s="5" t="inlineStr">
        <is>
          <t>kaohsiung/其他公辦案.html</t>
        </is>
      </c>
      <c r="C214" s="5" t="inlineStr">
        <is>
          <t>其他公辦案.html</t>
        </is>
      </c>
      <c r="D214" s="5" t="inlineStr">
        <is>
          <t>待產出</t>
        </is>
      </c>
      <c r="E214" s="5" t="inlineStr"/>
    </row>
    <row r="215">
      <c r="A215" s="5" t="inlineStr">
        <is>
          <t>⑤重劃區內頁</t>
        </is>
      </c>
      <c r="B215" s="5" t="inlineStr">
        <is>
          <t>kaohsiung/梓官自辦重劃.html</t>
        </is>
      </c>
      <c r="C215" s="5" t="inlineStr">
        <is>
          <t>梓官自辦重劃.html</t>
        </is>
      </c>
      <c r="D215" s="5" t="inlineStr">
        <is>
          <t>待產出</t>
        </is>
      </c>
      <c r="E215" s="5" t="inlineStr"/>
    </row>
    <row r="216">
      <c r="A216" s="5" t="inlineStr">
        <is>
          <t>⑤重劃區內頁</t>
        </is>
      </c>
      <c r="B216" s="5" t="inlineStr">
        <is>
          <t>kaohsiung/彌陀自辦重劃.html</t>
        </is>
      </c>
      <c r="C216" s="5" t="inlineStr">
        <is>
          <t>彌陀自辦重劃.html</t>
        </is>
      </c>
      <c r="D216" s="5" t="inlineStr">
        <is>
          <t>待產出</t>
        </is>
      </c>
      <c r="E216" s="5" t="inlineStr"/>
    </row>
    <row r="217">
      <c r="A217" s="5" t="inlineStr">
        <is>
          <t>⑤重劃區內頁</t>
        </is>
      </c>
      <c r="B217" s="5" t="inlineStr">
        <is>
          <t>kaohsiung/其他鄉鎮自辦案.html</t>
        </is>
      </c>
      <c r="C217" s="5" t="inlineStr">
        <is>
          <t>其他鄉鎮自辦案.html</t>
        </is>
      </c>
      <c r="D217" s="5" t="inlineStr">
        <is>
          <t>待產出</t>
        </is>
      </c>
      <c r="E217" s="5" t="inlineStr"/>
    </row>
    <row r="218">
      <c r="A218" s="5" t="inlineStr">
        <is>
          <t>⑤重劃區內頁</t>
        </is>
      </c>
      <c r="B218" s="5" t="inlineStr">
        <is>
          <t>kaohsiung/農16特區.html</t>
        </is>
      </c>
      <c r="C218" s="5" t="inlineStr">
        <is>
          <t>農16特區.html</t>
        </is>
      </c>
      <c r="D218" s="5" t="inlineStr">
        <is>
          <t>待產出</t>
        </is>
      </c>
      <c r="E218" s="5" t="inlineStr"/>
    </row>
    <row r="219">
      <c r="A219" s="5" t="inlineStr">
        <is>
          <t>⑤重劃區內頁</t>
        </is>
      </c>
      <c r="B219" s="5" t="inlineStr">
        <is>
          <t>kaohsiung/亞洲新灣區.html</t>
        </is>
      </c>
      <c r="C219" s="5" t="inlineStr">
        <is>
          <t>亞洲新灣區.html</t>
        </is>
      </c>
      <c r="D219" s="5" t="inlineStr">
        <is>
          <t>待產出</t>
        </is>
      </c>
      <c r="E219" s="5" t="inlineStr"/>
    </row>
    <row r="220">
      <c r="A220" s="5" t="inlineStr">
        <is>
          <t>⑤重劃區內頁</t>
        </is>
      </c>
      <c r="B220" s="5" t="inlineStr">
        <is>
          <t>kaohsiung/仁武區段徵收.html</t>
        </is>
      </c>
      <c r="C220" s="5" t="inlineStr">
        <is>
          <t>仁武區段徵收.html</t>
        </is>
      </c>
      <c r="D220" s="5" t="inlineStr">
        <is>
          <t>待產出</t>
        </is>
      </c>
      <c r="E220" s="5" t="inlineStr"/>
    </row>
    <row r="221">
      <c r="A221" s="5" t="inlineStr">
        <is>
          <t>⑤重劃區內頁</t>
        </is>
      </c>
      <c r="B221" s="5" t="inlineStr">
        <is>
          <t>kaohsiung/岡山區段徵收.html</t>
        </is>
      </c>
      <c r="C221" s="5" t="inlineStr">
        <is>
          <t>岡山區段徵收.html</t>
        </is>
      </c>
      <c r="D221" s="5" t="inlineStr">
        <is>
          <t>待產出</t>
        </is>
      </c>
      <c r="E221" s="5" t="inlineStr"/>
    </row>
    <row r="222">
      <c r="A222" s="5" t="inlineStr">
        <is>
          <t>⑤重劃區內頁</t>
        </is>
      </c>
      <c r="B222" s="5" t="inlineStr">
        <is>
          <t>kaohsiung/橋頭科學園區段徵收.html</t>
        </is>
      </c>
      <c r="C222" s="5" t="inlineStr">
        <is>
          <t>橋頭科學園區段徵收.html</t>
        </is>
      </c>
      <c r="D222" s="5" t="inlineStr">
        <is>
          <t>待產出</t>
        </is>
      </c>
      <c r="E222" s="5" t="inlineStr"/>
    </row>
    <row r="223">
      <c r="A223" s="5" t="inlineStr">
        <is>
          <t>⑤重劃區內頁</t>
        </is>
      </c>
      <c r="B223" s="5" t="inlineStr">
        <is>
          <t>kaohsiung/舊市區零星都更.html</t>
        </is>
      </c>
      <c r="C223" s="5" t="inlineStr">
        <is>
          <t>舊市區零星都更.html</t>
        </is>
      </c>
      <c r="D223" s="5" t="inlineStr">
        <is>
          <t>待產出</t>
        </is>
      </c>
      <c r="E223" s="5" t="inlineStr"/>
    </row>
    <row r="224">
      <c r="A224" s="5" t="inlineStr">
        <is>
          <t>⑤重劃區內頁</t>
        </is>
      </c>
      <c r="B224" s="5" t="inlineStr">
        <is>
          <t>keelung/市區小型公辦案.html</t>
        </is>
      </c>
      <c r="C224" s="5" t="inlineStr">
        <is>
          <t>市區小型公辦案.html</t>
        </is>
      </c>
      <c r="D224" s="5" t="inlineStr">
        <is>
          <t>待產出</t>
        </is>
      </c>
      <c r="E224" s="5" t="inlineStr"/>
    </row>
    <row r="225">
      <c r="A225" s="5" t="inlineStr">
        <is>
          <t>⑤重劃區內頁</t>
        </is>
      </c>
      <c r="B225" s="5" t="inlineStr">
        <is>
          <t>keelung/市區小型自辦重劃.html</t>
        </is>
      </c>
      <c r="C225" s="5" t="inlineStr">
        <is>
          <t>市區小型自辦重劃.html</t>
        </is>
      </c>
      <c r="D225" s="5" t="inlineStr">
        <is>
          <t>待產出</t>
        </is>
      </c>
      <c r="E225" s="5" t="inlineStr"/>
    </row>
    <row r="226">
      <c r="A226" s="5" t="inlineStr">
        <is>
          <t>⑤重劃區內頁</t>
        </is>
      </c>
      <c r="B226" s="5" t="inlineStr">
        <is>
          <t>keelung/基隆港周邊都更.html</t>
        </is>
      </c>
      <c r="C226" s="5" t="inlineStr">
        <is>
          <t>基隆港周邊都更.html</t>
        </is>
      </c>
      <c r="D226" s="5" t="inlineStr">
        <is>
          <t>待產出</t>
        </is>
      </c>
      <c r="E226" s="5" t="inlineStr"/>
    </row>
    <row r="227">
      <c r="A227" s="5" t="inlineStr">
        <is>
          <t>⑤重劃區內頁</t>
        </is>
      </c>
      <c r="B227" s="5" t="inlineStr">
        <is>
          <t>hsinchu-city/市區小型公辦案.html</t>
        </is>
      </c>
      <c r="C227" s="5" t="inlineStr">
        <is>
          <t>市區小型公辦案.html</t>
        </is>
      </c>
      <c r="D227" s="5" t="inlineStr">
        <is>
          <t>待產出</t>
        </is>
      </c>
      <c r="E227" s="5" t="inlineStr"/>
    </row>
    <row r="228">
      <c r="A228" s="5" t="inlineStr">
        <is>
          <t>⑤重劃區內頁</t>
        </is>
      </c>
      <c r="B228" s="5" t="inlineStr">
        <is>
          <t>hsinchu-city/市區多處自辦重劃.html</t>
        </is>
      </c>
      <c r="C228" s="5" t="inlineStr">
        <is>
          <t>市區多處自辦重劃.html</t>
        </is>
      </c>
      <c r="D228" s="5" t="inlineStr">
        <is>
          <t>待產出</t>
        </is>
      </c>
      <c r="E228" s="5" t="inlineStr"/>
    </row>
    <row r="229">
      <c r="A229" s="5" t="inlineStr">
        <is>
          <t>⑤重劃區內頁</t>
        </is>
      </c>
      <c r="B229" s="5" t="inlineStr">
        <is>
          <t>hsinchu-city/金山街自辦重劃.html</t>
        </is>
      </c>
      <c r="C229" s="5" t="inlineStr">
        <is>
          <t>金山街自辦重劃.html</t>
        </is>
      </c>
      <c r="D229" s="5" t="inlineStr">
        <is>
          <t>待產出</t>
        </is>
      </c>
      <c r="E229" s="5" t="inlineStr"/>
    </row>
    <row r="230">
      <c r="A230" s="5" t="inlineStr">
        <is>
          <t>⑤重劃區內頁</t>
        </is>
      </c>
      <c r="B230" s="5" t="inlineStr">
        <is>
          <t>hsinchu-city/舊市區都更.html</t>
        </is>
      </c>
      <c r="C230" s="5" t="inlineStr">
        <is>
          <t>舊市區都更.html</t>
        </is>
      </c>
      <c r="D230" s="5" t="inlineStr">
        <is>
          <t>待產出</t>
        </is>
      </c>
      <c r="E230" s="5" t="inlineStr"/>
    </row>
    <row r="231">
      <c r="A231" s="5" t="inlineStr">
        <is>
          <t>⑤重劃區內頁</t>
        </is>
      </c>
      <c r="B231" s="5" t="inlineStr">
        <is>
          <t>hsinchu-county/竹北多期公辦重劃.html</t>
        </is>
      </c>
      <c r="C231" s="5" t="inlineStr">
        <is>
          <t>竹北多期公辦重劃.html</t>
        </is>
      </c>
      <c r="D231" s="5" t="inlineStr">
        <is>
          <t>待產出</t>
        </is>
      </c>
      <c r="E231" s="5" t="inlineStr"/>
    </row>
    <row r="232">
      <c r="A232" s="5" t="inlineStr">
        <is>
          <t>⑤重劃區內頁</t>
        </is>
      </c>
      <c r="B232" s="5" t="inlineStr">
        <is>
          <t>hsinchu-county/湖口公辦重劃.html</t>
        </is>
      </c>
      <c r="C232" s="5" t="inlineStr">
        <is>
          <t>湖口公辦重劃.html</t>
        </is>
      </c>
      <c r="D232" s="5" t="inlineStr">
        <is>
          <t>待產出</t>
        </is>
      </c>
      <c r="E232" s="5" t="inlineStr"/>
    </row>
    <row r="233">
      <c r="A233" s="5" t="inlineStr">
        <is>
          <t>⑤重劃區內頁</t>
        </is>
      </c>
      <c r="B233" s="5" t="inlineStr">
        <is>
          <t>hsinchu-county/其他鄉鎮公辦案.html</t>
        </is>
      </c>
      <c r="C233" s="5" t="inlineStr">
        <is>
          <t>其他鄉鎮公辦案.html</t>
        </is>
      </c>
      <c r="D233" s="5" t="inlineStr">
        <is>
          <t>待產出</t>
        </is>
      </c>
      <c r="E233" s="5" t="inlineStr"/>
    </row>
    <row r="234">
      <c r="A234" s="5" t="inlineStr">
        <is>
          <t>⑤重劃區內頁</t>
        </is>
      </c>
      <c r="B234" s="5" t="inlineStr">
        <is>
          <t>hsinchu-county/鄉鎮零星自辦案.html</t>
        </is>
      </c>
      <c r="C234" s="5" t="inlineStr">
        <is>
          <t>鄉鎮零星自辦案.html</t>
        </is>
      </c>
      <c r="D234" s="5" t="inlineStr">
        <is>
          <t>待產出</t>
        </is>
      </c>
      <c r="E234" s="5" t="inlineStr"/>
    </row>
    <row r="235">
      <c r="A235" s="5" t="inlineStr">
        <is>
          <t>⑤重劃區內頁</t>
        </is>
      </c>
      <c r="B235" s="5" t="inlineStr">
        <is>
          <t>hsinchu-county/竹北高鐵特區.html</t>
        </is>
      </c>
      <c r="C235" s="5" t="inlineStr">
        <is>
          <t>竹北高鐵特區.html</t>
        </is>
      </c>
      <c r="D235" s="5" t="inlineStr">
        <is>
          <t>待產出</t>
        </is>
      </c>
      <c r="E235" s="5" t="inlineStr"/>
    </row>
    <row r="236">
      <c r="A236" s="5" t="inlineStr">
        <is>
          <t>⑤重劃區內頁</t>
        </is>
      </c>
      <c r="B236" s="5" t="inlineStr">
        <is>
          <t>hsinchu-county/舊市區零星都更.html</t>
        </is>
      </c>
      <c r="C236" s="5" t="inlineStr">
        <is>
          <t>舊市區零星都更.html</t>
        </is>
      </c>
      <c r="D236" s="5" t="inlineStr">
        <is>
          <t>待產出</t>
        </is>
      </c>
      <c r="E236" s="5" t="inlineStr"/>
    </row>
    <row r="237">
      <c r="A237" s="5" t="inlineStr">
        <is>
          <t>⑤重劃區內頁</t>
        </is>
      </c>
      <c r="B237" s="5" t="inlineStr">
        <is>
          <t>miaoli/竹南公辦重劃.html</t>
        </is>
      </c>
      <c r="C237" s="5" t="inlineStr">
        <is>
          <t>竹南公辦重劃.html</t>
        </is>
      </c>
      <c r="D237" s="5" t="inlineStr">
        <is>
          <t>待產出</t>
        </is>
      </c>
      <c r="E237" s="5" t="inlineStr"/>
    </row>
    <row r="238">
      <c r="A238" s="5" t="inlineStr">
        <is>
          <t>⑤重劃區內頁</t>
        </is>
      </c>
      <c r="B238" s="5" t="inlineStr">
        <is>
          <t>miaoli/頭份公辦重劃.html</t>
        </is>
      </c>
      <c r="C238" s="5" t="inlineStr">
        <is>
          <t>頭份公辦重劃.html</t>
        </is>
      </c>
      <c r="D238" s="5" t="inlineStr">
        <is>
          <t>待產出</t>
        </is>
      </c>
      <c r="E238" s="5" t="inlineStr"/>
    </row>
    <row r="239">
      <c r="A239" s="5" t="inlineStr">
        <is>
          <t>⑤重劃區內頁</t>
        </is>
      </c>
      <c r="B239" s="5" t="inlineStr">
        <is>
          <t>miaoli/苗栗市自辦重劃.html</t>
        </is>
      </c>
      <c r="C239" s="5" t="inlineStr">
        <is>
          <t>苗栗市自辦重劃.html</t>
        </is>
      </c>
      <c r="D239" s="5" t="inlineStr">
        <is>
          <t>待產出</t>
        </is>
      </c>
      <c r="E239" s="5" t="inlineStr"/>
    </row>
    <row r="240">
      <c r="A240" s="5" t="inlineStr">
        <is>
          <t>⑤重劃區內頁</t>
        </is>
      </c>
      <c r="B240" s="5" t="inlineStr">
        <is>
          <t>miaoli/其他鄉鎮自辦案.html</t>
        </is>
      </c>
      <c r="C240" s="5" t="inlineStr">
        <is>
          <t>其他鄉鎮自辦案.html</t>
        </is>
      </c>
      <c r="D240" s="5" t="inlineStr">
        <is>
          <t>待產出</t>
        </is>
      </c>
      <c r="E240" s="5" t="inlineStr"/>
    </row>
    <row r="241">
      <c r="A241" s="5" t="inlineStr">
        <is>
          <t>⑤重劃區內頁</t>
        </is>
      </c>
      <c r="B241" s="5" t="inlineStr">
        <is>
          <t>miaoli/舊市區零星都更.html</t>
        </is>
      </c>
      <c r="C241" s="5" t="inlineStr">
        <is>
          <t>舊市區零星都更.html</t>
        </is>
      </c>
      <c r="D241" s="5" t="inlineStr">
        <is>
          <t>待產出</t>
        </is>
      </c>
      <c r="E241" s="5" t="inlineStr"/>
    </row>
    <row r="242">
      <c r="A242" s="5" t="inlineStr">
        <is>
          <t>⑤重劃區內頁</t>
        </is>
      </c>
      <c r="B242" s="5" t="inlineStr">
        <is>
          <t>yilan/羅東公辦重劃.html</t>
        </is>
      </c>
      <c r="C242" s="5" t="inlineStr">
        <is>
          <t>羅東公辦重劃.html</t>
        </is>
      </c>
      <c r="D242" s="5" t="inlineStr">
        <is>
          <t>待產出</t>
        </is>
      </c>
      <c r="E242" s="5" t="inlineStr"/>
    </row>
    <row r="243">
      <c r="A243" s="5" t="inlineStr">
        <is>
          <t>⑤重劃區內頁</t>
        </is>
      </c>
      <c r="B243" s="5" t="inlineStr">
        <is>
          <t>yilan/宜蘭市小型自辦重劃.html</t>
        </is>
      </c>
      <c r="C243" s="5" t="inlineStr">
        <is>
          <t>宜蘭市小型自辦重劃.html</t>
        </is>
      </c>
      <c r="D243" s="5" t="inlineStr">
        <is>
          <t>待產出</t>
        </is>
      </c>
      <c r="E243" s="5" t="inlineStr"/>
    </row>
    <row r="244">
      <c r="A244" s="5" t="inlineStr">
        <is>
          <t>⑤重劃區內頁</t>
        </is>
      </c>
      <c r="B244" s="5" t="inlineStr">
        <is>
          <t>yilan/羅東特定區段徵收.html</t>
        </is>
      </c>
      <c r="C244" s="5" t="inlineStr">
        <is>
          <t>羅東特定區段徵收.html</t>
        </is>
      </c>
      <c r="D244" s="5" t="inlineStr">
        <is>
          <t>待產出</t>
        </is>
      </c>
      <c r="E244" s="5" t="inlineStr"/>
    </row>
    <row r="245">
      <c r="A245" s="5" t="inlineStr">
        <is>
          <t>⑤重劃區內頁</t>
        </is>
      </c>
      <c r="B245" s="5" t="inlineStr">
        <is>
          <t>yilan/舊市區零星都更.html</t>
        </is>
      </c>
      <c r="C245" s="5" t="inlineStr">
        <is>
          <t>舊市區零星都更.html</t>
        </is>
      </c>
      <c r="D245" s="5" t="inlineStr">
        <is>
          <t>待產出</t>
        </is>
      </c>
      <c r="E245" s="5" t="inlineStr"/>
    </row>
    <row r="246">
      <c r="A246" s="5" t="inlineStr">
        <is>
          <t>⑤重劃區內頁</t>
        </is>
      </c>
      <c r="B246" s="5" t="inlineStr">
        <is>
          <t>changhua/彰化市公辦重劃.html</t>
        </is>
      </c>
      <c r="C246" s="5" t="inlineStr">
        <is>
          <t>彰化市公辦重劃.html</t>
        </is>
      </c>
      <c r="D246" s="5" t="inlineStr">
        <is>
          <t>待產出</t>
        </is>
      </c>
      <c r="E246" s="5" t="inlineStr"/>
    </row>
    <row r="247">
      <c r="A247" s="5" t="inlineStr">
        <is>
          <t>⑤重劃區內頁</t>
        </is>
      </c>
      <c r="B247" s="5" t="inlineStr">
        <is>
          <t>changhua/員林公辦重劃.html</t>
        </is>
      </c>
      <c r="C247" s="5" t="inlineStr">
        <is>
          <t>員林公辦重劃.html</t>
        </is>
      </c>
      <c r="D247" s="5" t="inlineStr">
        <is>
          <t>待產出</t>
        </is>
      </c>
      <c r="E247" s="5" t="inlineStr"/>
    </row>
    <row r="248">
      <c r="A248" s="5" t="inlineStr">
        <is>
          <t>⑤重劃區內頁</t>
        </is>
      </c>
      <c r="B248" s="5" t="inlineStr">
        <is>
          <t>changhua/鹿港自辦重劃.html</t>
        </is>
      </c>
      <c r="C248" s="5" t="inlineStr">
        <is>
          <t>鹿港自辦重劃.html</t>
        </is>
      </c>
      <c r="D248" s="5" t="inlineStr">
        <is>
          <t>待產出</t>
        </is>
      </c>
      <c r="E248" s="5" t="inlineStr"/>
    </row>
    <row r="249">
      <c r="A249" s="5" t="inlineStr">
        <is>
          <t>⑤重劃區內頁</t>
        </is>
      </c>
      <c r="B249" s="5" t="inlineStr">
        <is>
          <t>changhua/和美自辦重劃.html</t>
        </is>
      </c>
      <c r="C249" s="5" t="inlineStr">
        <is>
          <t>和美自辦重劃.html</t>
        </is>
      </c>
      <c r="D249" s="5" t="inlineStr">
        <is>
          <t>待產出</t>
        </is>
      </c>
      <c r="E249" s="5" t="inlineStr"/>
    </row>
    <row r="250">
      <c r="A250" s="5" t="inlineStr">
        <is>
          <t>⑤重劃區內頁</t>
        </is>
      </c>
      <c r="B250" s="5" t="inlineStr">
        <is>
          <t>changhua/其他鄉鎮大量自辦案.html</t>
        </is>
      </c>
      <c r="C250" s="5" t="inlineStr">
        <is>
          <t>其他鄉鎮大量自辦案.html</t>
        </is>
      </c>
      <c r="D250" s="5" t="inlineStr">
        <is>
          <t>待產出</t>
        </is>
      </c>
      <c r="E250" s="5" t="inlineStr"/>
    </row>
    <row r="251">
      <c r="A251" s="5" t="inlineStr">
        <is>
          <t>⑤重劃區內頁</t>
        </is>
      </c>
      <c r="B251" s="5" t="inlineStr">
        <is>
          <t>changhua/（全台自辦重劃密度最高）.html</t>
        </is>
      </c>
      <c r="C251" s="5" t="inlineStr">
        <is>
          <t>（全台自辦重劃密度最高）.html</t>
        </is>
      </c>
      <c r="D251" s="5" t="inlineStr">
        <is>
          <t>待產出</t>
        </is>
      </c>
      <c r="E251" s="5" t="inlineStr"/>
    </row>
    <row r="252">
      <c r="A252" s="5" t="inlineStr">
        <is>
          <t>⑤重劃區內頁</t>
        </is>
      </c>
      <c r="B252" s="5" t="inlineStr">
        <is>
          <t>changhua/舊市區零星都更.html</t>
        </is>
      </c>
      <c r="C252" s="5" t="inlineStr">
        <is>
          <t>舊市區零星都更.html</t>
        </is>
      </c>
      <c r="D252" s="5" t="inlineStr">
        <is>
          <t>待產出</t>
        </is>
      </c>
      <c r="E252" s="5" t="inlineStr"/>
    </row>
    <row r="253">
      <c r="A253" s="5" t="inlineStr">
        <is>
          <t>⑤重劃區內頁</t>
        </is>
      </c>
      <c r="B253" s="5" t="inlineStr">
        <is>
          <t>nantou/縣治小型公辦案.html</t>
        </is>
      </c>
      <c r="C253" s="5" t="inlineStr">
        <is>
          <t>縣治小型公辦案.html</t>
        </is>
      </c>
      <c r="D253" s="5" t="inlineStr">
        <is>
          <t>待產出</t>
        </is>
      </c>
      <c r="E253" s="5" t="inlineStr"/>
    </row>
    <row r="254">
      <c r="A254" s="5" t="inlineStr">
        <is>
          <t>⑤重劃區內頁</t>
        </is>
      </c>
      <c r="B254" s="5" t="inlineStr">
        <is>
          <t>nantou/埔里自辦重劃.html</t>
        </is>
      </c>
      <c r="C254" s="5" t="inlineStr">
        <is>
          <t>埔里自辦重劃.html</t>
        </is>
      </c>
      <c r="D254" s="5" t="inlineStr">
        <is>
          <t>待產出</t>
        </is>
      </c>
      <c r="E254" s="5" t="inlineStr"/>
    </row>
    <row r="255">
      <c r="A255" s="5" t="inlineStr">
        <is>
          <t>⑤重劃區內頁</t>
        </is>
      </c>
      <c r="B255" s="5" t="inlineStr">
        <is>
          <t>nantou/草屯自辦重劃.html</t>
        </is>
      </c>
      <c r="C255" s="5" t="inlineStr">
        <is>
          <t>草屯自辦重劃.html</t>
        </is>
      </c>
      <c r="D255" s="5" t="inlineStr">
        <is>
          <t>待產出</t>
        </is>
      </c>
      <c r="E255" s="5" t="inlineStr"/>
    </row>
    <row r="256">
      <c r="A256" s="5" t="inlineStr">
        <is>
          <t>⑤重劃區內頁</t>
        </is>
      </c>
      <c r="B256" s="5" t="inlineStr">
        <is>
          <t>nantou/竹山自辦重劃.html</t>
        </is>
      </c>
      <c r="C256" s="5" t="inlineStr">
        <is>
          <t>竹山自辦重劃.html</t>
        </is>
      </c>
      <c r="D256" s="5" t="inlineStr">
        <is>
          <t>待產出</t>
        </is>
      </c>
      <c r="E256" s="5" t="inlineStr"/>
    </row>
    <row r="257">
      <c r="A257" s="5" t="inlineStr">
        <is>
          <t>⑤重劃區內頁</t>
        </is>
      </c>
      <c r="B257" s="5" t="inlineStr">
        <is>
          <t>nantou/舊市區零星都更.html</t>
        </is>
      </c>
      <c r="C257" s="5" t="inlineStr">
        <is>
          <t>舊市區零星都更.html</t>
        </is>
      </c>
      <c r="D257" s="5" t="inlineStr">
        <is>
          <t>待產出</t>
        </is>
      </c>
      <c r="E257" s="5" t="inlineStr"/>
    </row>
    <row r="258">
      <c r="A258" s="5" t="inlineStr">
        <is>
          <t>⑤重劃區內頁</t>
        </is>
      </c>
      <c r="B258" s="5" t="inlineStr">
        <is>
          <t>yunlin/縣治小型公辦案.html</t>
        </is>
      </c>
      <c r="C258" s="5" t="inlineStr">
        <is>
          <t>縣治小型公辦案.html</t>
        </is>
      </c>
      <c r="D258" s="5" t="inlineStr">
        <is>
          <t>待產出</t>
        </is>
      </c>
      <c r="E258" s="5" t="inlineStr"/>
    </row>
    <row r="259">
      <c r="A259" s="5" t="inlineStr">
        <is>
          <t>⑤重劃區內頁</t>
        </is>
      </c>
      <c r="B259" s="5" t="inlineStr">
        <is>
          <t>yunlin/斗六自辦重劃.html</t>
        </is>
      </c>
      <c r="C259" s="5" t="inlineStr">
        <is>
          <t>斗六自辦重劃.html</t>
        </is>
      </c>
      <c r="D259" s="5" t="inlineStr">
        <is>
          <t>待產出</t>
        </is>
      </c>
      <c r="E259" s="5" t="inlineStr"/>
    </row>
    <row r="260">
      <c r="A260" s="5" t="inlineStr">
        <is>
          <t>⑤重劃區內頁</t>
        </is>
      </c>
      <c r="B260" s="5" t="inlineStr">
        <is>
          <t>yunlin/虎尾自辦重劃.html</t>
        </is>
      </c>
      <c r="C260" s="5" t="inlineStr">
        <is>
          <t>虎尾自辦重劃.html</t>
        </is>
      </c>
      <c r="D260" s="5" t="inlineStr">
        <is>
          <t>待產出</t>
        </is>
      </c>
      <c r="E260" s="5" t="inlineStr"/>
    </row>
    <row r="261">
      <c r="A261" s="5" t="inlineStr">
        <is>
          <t>⑤重劃區內頁</t>
        </is>
      </c>
      <c r="B261" s="5" t="inlineStr">
        <is>
          <t>yunlin/北港自辦重劃.html</t>
        </is>
      </c>
      <c r="C261" s="5" t="inlineStr">
        <is>
          <t>北港自辦重劃.html</t>
        </is>
      </c>
      <c r="D261" s="5" t="inlineStr">
        <is>
          <t>待產出</t>
        </is>
      </c>
      <c r="E261" s="5" t="inlineStr"/>
    </row>
    <row r="262">
      <c r="A262" s="5" t="inlineStr">
        <is>
          <t>⑤重劃區內頁</t>
        </is>
      </c>
      <c r="B262" s="5" t="inlineStr">
        <is>
          <t>yunlin/其他鄉鎮自辦案.html</t>
        </is>
      </c>
      <c r="C262" s="5" t="inlineStr">
        <is>
          <t>其他鄉鎮自辦案.html</t>
        </is>
      </c>
      <c r="D262" s="5" t="inlineStr">
        <is>
          <t>待產出</t>
        </is>
      </c>
      <c r="E262" s="5" t="inlineStr"/>
    </row>
    <row r="263">
      <c r="A263" s="5" t="inlineStr">
        <is>
          <t>⑤重劃區內頁</t>
        </is>
      </c>
      <c r="B263" s="5" t="inlineStr">
        <is>
          <t>yunlin/舊市區零星都更.html</t>
        </is>
      </c>
      <c r="C263" s="5" t="inlineStr">
        <is>
          <t>舊市區零星都更.html</t>
        </is>
      </c>
      <c r="D263" s="5" t="inlineStr">
        <is>
          <t>待產出</t>
        </is>
      </c>
      <c r="E263" s="5" t="inlineStr"/>
    </row>
    <row r="264">
      <c r="A264" s="5" t="inlineStr">
        <is>
          <t>⑤重劃區內頁</t>
        </is>
      </c>
      <c r="B264" s="5" t="inlineStr">
        <is>
          <t>chiayi-city/市區小型公辦案.html</t>
        </is>
      </c>
      <c r="C264" s="5" t="inlineStr">
        <is>
          <t>市區小型公辦案.html</t>
        </is>
      </c>
      <c r="D264" s="5" t="inlineStr">
        <is>
          <t>待產出</t>
        </is>
      </c>
      <c r="E264" s="5" t="inlineStr"/>
    </row>
    <row r="265">
      <c r="A265" s="5" t="inlineStr">
        <is>
          <t>⑤重劃區內頁</t>
        </is>
      </c>
      <c r="B265" s="5" t="inlineStr">
        <is>
          <t>chiayi-city/市區小型自辦重劃.html</t>
        </is>
      </c>
      <c r="C265" s="5" t="inlineStr">
        <is>
          <t>市區小型自辦重劃.html</t>
        </is>
      </c>
      <c r="D265" s="5" t="inlineStr">
        <is>
          <t>待產出</t>
        </is>
      </c>
      <c r="E265" s="5" t="inlineStr"/>
    </row>
    <row r="266">
      <c r="A266" s="5" t="inlineStr">
        <is>
          <t>⑤重劃區內頁</t>
        </is>
      </c>
      <c r="B266" s="5" t="inlineStr">
        <is>
          <t>chiayi-city/舊市區都更.html</t>
        </is>
      </c>
      <c r="C266" s="5" t="inlineStr">
        <is>
          <t>舊市區都更.html</t>
        </is>
      </c>
      <c r="D266" s="5" t="inlineStr">
        <is>
          <t>待產出</t>
        </is>
      </c>
      <c r="E266" s="5" t="inlineStr"/>
    </row>
    <row r="267">
      <c r="A267" s="5" t="inlineStr">
        <is>
          <t>⑤重劃區內頁</t>
        </is>
      </c>
      <c r="B267" s="5" t="inlineStr">
        <is>
          <t>chiayi-county/太保公辦重劃.html</t>
        </is>
      </c>
      <c r="C267" s="5" t="inlineStr">
        <is>
          <t>太保公辦重劃.html</t>
        </is>
      </c>
      <c r="D267" s="5" t="inlineStr">
        <is>
          <t>待產出</t>
        </is>
      </c>
      <c r="E267" s="5" t="inlineStr"/>
    </row>
    <row r="268">
      <c r="A268" s="5" t="inlineStr">
        <is>
          <t>⑤重劃區內頁</t>
        </is>
      </c>
      <c r="B268" s="5" t="inlineStr">
        <is>
          <t>chiayi-county/朴子公辦重劃.html</t>
        </is>
      </c>
      <c r="C268" s="5" t="inlineStr">
        <is>
          <t>朴子公辦重劃.html</t>
        </is>
      </c>
      <c r="D268" s="5" t="inlineStr">
        <is>
          <t>待產出</t>
        </is>
      </c>
      <c r="E268" s="5" t="inlineStr"/>
    </row>
    <row r="269">
      <c r="A269" s="5" t="inlineStr">
        <is>
          <t>⑤重劃區內頁</t>
        </is>
      </c>
      <c r="B269" s="5" t="inlineStr">
        <is>
          <t>chiayi-county/鄉鎮零星自辦案.html</t>
        </is>
      </c>
      <c r="C269" s="5" t="inlineStr">
        <is>
          <t>鄉鎮零星自辦案.html</t>
        </is>
      </c>
      <c r="D269" s="5" t="inlineStr">
        <is>
          <t>待產出</t>
        </is>
      </c>
      <c r="E269" s="5" t="inlineStr"/>
    </row>
    <row r="270">
      <c r="A270" s="5" t="inlineStr">
        <is>
          <t>⑤重劃區內頁</t>
        </is>
      </c>
      <c r="B270" s="5" t="inlineStr">
        <is>
          <t>chiayi-county/舊市區零星都更.html</t>
        </is>
      </c>
      <c r="C270" s="5" t="inlineStr">
        <is>
          <t>舊市區零星都更.html</t>
        </is>
      </c>
      <c r="D270" s="5" t="inlineStr">
        <is>
          <t>待產出</t>
        </is>
      </c>
      <c r="E270" s="5" t="inlineStr"/>
    </row>
    <row r="271">
      <c r="A271" s="5" t="inlineStr">
        <is>
          <t>⑤重劃區內頁</t>
        </is>
      </c>
      <c r="B271" s="5" t="inlineStr">
        <is>
          <t>pingtung/屏東市公辦重劃.html</t>
        </is>
      </c>
      <c r="C271" s="5" t="inlineStr">
        <is>
          <t>屏東市公辦重劃.html</t>
        </is>
      </c>
      <c r="D271" s="5" t="inlineStr">
        <is>
          <t>待產出</t>
        </is>
      </c>
      <c r="E271" s="5" t="inlineStr"/>
    </row>
    <row r="272">
      <c r="A272" s="5" t="inlineStr">
        <is>
          <t>⑤重劃區內頁</t>
        </is>
      </c>
      <c r="B272" s="5" t="inlineStr">
        <is>
          <t>pingtung/潮州自辦重劃.html</t>
        </is>
      </c>
      <c r="C272" s="5" t="inlineStr">
        <is>
          <t>潮州自辦重劃.html</t>
        </is>
      </c>
      <c r="D272" s="5" t="inlineStr">
        <is>
          <t>待產出</t>
        </is>
      </c>
      <c r="E272" s="5" t="inlineStr"/>
    </row>
    <row r="273">
      <c r="A273" s="5" t="inlineStr">
        <is>
          <t>⑤重劃區內頁</t>
        </is>
      </c>
      <c r="B273" s="5" t="inlineStr">
        <is>
          <t>pingtung/內埔自辦重劃.html</t>
        </is>
      </c>
      <c r="C273" s="5" t="inlineStr">
        <is>
          <t>內埔自辦重劃.html</t>
        </is>
      </c>
      <c r="D273" s="5" t="inlineStr">
        <is>
          <t>待產出</t>
        </is>
      </c>
      <c r="E273" s="5" t="inlineStr"/>
    </row>
    <row r="274">
      <c r="A274" s="5" t="inlineStr">
        <is>
          <t>⑤重劃區內頁</t>
        </is>
      </c>
      <c r="B274" s="5" t="inlineStr">
        <is>
          <t>pingtung/其他鄉鎮自辦案.html</t>
        </is>
      </c>
      <c r="C274" s="5" t="inlineStr">
        <is>
          <t>其他鄉鎮自辦案.html</t>
        </is>
      </c>
      <c r="D274" s="5" t="inlineStr">
        <is>
          <t>待產出</t>
        </is>
      </c>
      <c r="E274" s="5" t="inlineStr"/>
    </row>
    <row r="275">
      <c r="A275" s="5" t="inlineStr">
        <is>
          <t>⑤重劃區內頁</t>
        </is>
      </c>
      <c r="B275" s="5" t="inlineStr">
        <is>
          <t>pingtung/舊市區零星都更.html</t>
        </is>
      </c>
      <c r="C275" s="5" t="inlineStr">
        <is>
          <t>舊市區零星都更.html</t>
        </is>
      </c>
      <c r="D275" s="5" t="inlineStr">
        <is>
          <t>待產出</t>
        </is>
      </c>
      <c r="E275" s="5" t="inlineStr"/>
    </row>
    <row r="276">
      <c r="A276" s="5" t="inlineStr">
        <is>
          <t>⑤重劃區內頁</t>
        </is>
      </c>
      <c r="B276" s="5" t="inlineStr">
        <is>
          <t>hualien/縣治小型公辦案.html</t>
        </is>
      </c>
      <c r="C276" s="5" t="inlineStr">
        <is>
          <t>縣治小型公辦案.html</t>
        </is>
      </c>
      <c r="D276" s="5" t="inlineStr">
        <is>
          <t>待產出</t>
        </is>
      </c>
      <c r="E276" s="5" t="inlineStr"/>
    </row>
    <row r="277">
      <c r="A277" s="5" t="inlineStr">
        <is>
          <t>⑤重劃區內頁</t>
        </is>
      </c>
      <c r="B277" s="5" t="inlineStr">
        <is>
          <t>hualien/縣治零星小型自辦案.html</t>
        </is>
      </c>
      <c r="C277" s="5" t="inlineStr">
        <is>
          <t>縣治零星小型自辦案.html</t>
        </is>
      </c>
      <c r="D277" s="5" t="inlineStr">
        <is>
          <t>待產出</t>
        </is>
      </c>
      <c r="E277" s="5" t="inlineStr"/>
    </row>
    <row r="278">
      <c r="A278" s="5" t="inlineStr">
        <is>
          <t>⑤重劃區內頁</t>
        </is>
      </c>
      <c r="B278" s="5" t="inlineStr">
        <is>
          <t>hualien/花蓮市公共建設區段徵收.html</t>
        </is>
      </c>
      <c r="C278" s="5" t="inlineStr">
        <is>
          <t>花蓮市公共建設區段徵收.html</t>
        </is>
      </c>
      <c r="D278" s="5" t="inlineStr">
        <is>
          <t>待產出</t>
        </is>
      </c>
      <c r="E278" s="5" t="inlineStr"/>
    </row>
    <row r="279">
      <c r="A279" s="5" t="inlineStr">
        <is>
          <t>⑤重劃區內頁</t>
        </is>
      </c>
      <c r="B279" s="5" t="inlineStr">
        <is>
          <t>hualien/舊市區零星都更.html</t>
        </is>
      </c>
      <c r="C279" s="5" t="inlineStr">
        <is>
          <t>舊市區零星都更.html</t>
        </is>
      </c>
      <c r="D279" s="5" t="inlineStr">
        <is>
          <t>待產出</t>
        </is>
      </c>
      <c r="E279" s="5" t="inlineStr"/>
    </row>
    <row r="280">
      <c r="A280" s="5" t="inlineStr">
        <is>
          <t>⑤重劃區內頁</t>
        </is>
      </c>
      <c r="B280" s="5" t="inlineStr">
        <is>
          <t>taitung/縣治小型公辦案.html</t>
        </is>
      </c>
      <c r="C280" s="5" t="inlineStr">
        <is>
          <t>縣治小型公辦案.html</t>
        </is>
      </c>
      <c r="D280" s="5" t="inlineStr">
        <is>
          <t>待產出</t>
        </is>
      </c>
      <c r="E280" s="5" t="inlineStr"/>
    </row>
    <row r="281">
      <c r="A281" s="5" t="inlineStr">
        <is>
          <t>⑤重劃區內頁</t>
        </is>
      </c>
      <c r="B281" s="5" t="inlineStr">
        <is>
          <t>taitung/縣治零星小型自辦案.html</t>
        </is>
      </c>
      <c r="C281" s="5" t="inlineStr">
        <is>
          <t>縣治零星小型自辦案.html</t>
        </is>
      </c>
      <c r="D281" s="5" t="inlineStr">
        <is>
          <t>待產出</t>
        </is>
      </c>
      <c r="E281" s="5" t="inlineStr"/>
    </row>
    <row r="282">
      <c r="A282" s="5" t="inlineStr">
        <is>
          <t>⑤重劃區內頁</t>
        </is>
      </c>
      <c r="B282" s="5" t="inlineStr">
        <is>
          <t>taitung/臺東市區區段徵收.html</t>
        </is>
      </c>
      <c r="C282" s="5" t="inlineStr">
        <is>
          <t>臺東市區區段徵收.html</t>
        </is>
      </c>
      <c r="D282" s="5" t="inlineStr">
        <is>
          <t>待產出</t>
        </is>
      </c>
      <c r="E282" s="5" t="inlineStr"/>
    </row>
    <row r="283">
      <c r="A283" s="5" t="inlineStr">
        <is>
          <t>⑤重劃區內頁</t>
        </is>
      </c>
      <c r="B283" s="5" t="inlineStr">
        <is>
          <t>taitung/舊市區零星都更.html</t>
        </is>
      </c>
      <c r="C283" s="5" t="inlineStr">
        <is>
          <t>舊市區零星都更.html</t>
        </is>
      </c>
      <c r="D283" s="5" t="inlineStr">
        <is>
          <t>待產出</t>
        </is>
      </c>
      <c r="E283" s="5" t="inlineStr"/>
    </row>
    <row r="284">
      <c r="A284" s="5" t="inlineStr">
        <is>
          <t>⑤重劃區內頁</t>
        </is>
      </c>
      <c r="B284" s="5" t="inlineStr">
        <is>
          <t>penghu/無大型住宅重劃.html</t>
        </is>
      </c>
      <c r="C284" s="5" t="inlineStr">
        <is>
          <t>無大型住宅重劃.html</t>
        </is>
      </c>
      <c r="D284" s="5" t="inlineStr">
        <is>
          <t>待產出</t>
        </is>
      </c>
      <c r="E284" s="5" t="inlineStr"/>
    </row>
    <row r="285">
      <c r="A285" s="5" t="inlineStr">
        <is>
          <t>⑤重劃區內頁</t>
        </is>
      </c>
      <c r="B285" s="5" t="inlineStr">
        <is>
          <t>penghu/幾乎無.html</t>
        </is>
      </c>
      <c r="C285" s="5" t="inlineStr">
        <is>
          <t>幾乎無.html</t>
        </is>
      </c>
      <c r="D285" s="5" t="inlineStr">
        <is>
          <t>待產出</t>
        </is>
      </c>
      <c r="E285" s="5" t="inlineStr"/>
    </row>
    <row r="286">
      <c r="A286" s="5" t="inlineStr">
        <is>
          <t>⑤重劃區內頁</t>
        </is>
      </c>
      <c r="B286" s="5" t="inlineStr">
        <is>
          <t>penghu/僅公共建設類.html</t>
        </is>
      </c>
      <c r="C286" s="5" t="inlineStr">
        <is>
          <t>僅公共建設類.html</t>
        </is>
      </c>
      <c r="D286" s="5" t="inlineStr">
        <is>
          <t>待產出</t>
        </is>
      </c>
      <c r="E286" s="5" t="inlineStr"/>
    </row>
    <row r="287">
      <c r="A287" s="5" t="inlineStr">
        <is>
          <t>⑤重劃區內頁</t>
        </is>
      </c>
      <c r="B287" s="5" t="inlineStr">
        <is>
          <t>kinmen/無大型住宅重劃.html</t>
        </is>
      </c>
      <c r="C287" s="5" t="inlineStr">
        <is>
          <t>無大型住宅重劃.html</t>
        </is>
      </c>
      <c r="D287" s="5" t="inlineStr">
        <is>
          <t>待產出</t>
        </is>
      </c>
      <c r="E287" s="5" t="inlineStr"/>
    </row>
    <row r="288">
      <c r="A288" s="5" t="inlineStr">
        <is>
          <t>⑤重劃區內頁</t>
        </is>
      </c>
      <c r="B288" s="5" t="inlineStr">
        <is>
          <t>kinmen/幾乎無.html</t>
        </is>
      </c>
      <c r="C288" s="5" t="inlineStr">
        <is>
          <t>幾乎無.html</t>
        </is>
      </c>
      <c r="D288" s="5" t="inlineStr">
        <is>
          <t>待產出</t>
        </is>
      </c>
      <c r="E288" s="5" t="inlineStr"/>
    </row>
    <row r="289">
      <c r="A289" s="5" t="inlineStr">
        <is>
          <t>⑤重劃區內頁</t>
        </is>
      </c>
      <c r="B289" s="5" t="inlineStr">
        <is>
          <t>kinmen/僅公共建設類.html</t>
        </is>
      </c>
      <c r="C289" s="5" t="inlineStr">
        <is>
          <t>僅公共建設類.html</t>
        </is>
      </c>
      <c r="D289" s="5" t="inlineStr">
        <is>
          <t>待產出</t>
        </is>
      </c>
      <c r="E289" s="5" t="inlineStr"/>
    </row>
    <row r="290">
      <c r="A290" s="5" t="inlineStr">
        <is>
          <t>⑤重劃區內頁</t>
        </is>
      </c>
      <c r="B290" s="5" t="inlineStr">
        <is>
          <t>lienchiang/無大型住宅重劃.html</t>
        </is>
      </c>
      <c r="C290" s="5" t="inlineStr">
        <is>
          <t>無大型住宅重劃.html</t>
        </is>
      </c>
      <c r="D290" s="5" t="inlineStr">
        <is>
          <t>待產出</t>
        </is>
      </c>
      <c r="E290" s="5" t="inlineStr"/>
    </row>
    <row r="291">
      <c r="A291" s="5" t="inlineStr">
        <is>
          <t>⑤重劃區內頁</t>
        </is>
      </c>
      <c r="B291" s="5" t="inlineStr">
        <is>
          <t>lienchiang/幾乎無.html</t>
        </is>
      </c>
      <c r="C291" s="5" t="inlineStr">
        <is>
          <t>幾乎無.html</t>
        </is>
      </c>
      <c r="D291" s="5" t="inlineStr">
        <is>
          <t>待產出</t>
        </is>
      </c>
      <c r="E291" s="5" t="inlineStr"/>
    </row>
    <row r="292">
      <c r="A292" s="5" t="inlineStr">
        <is>
          <t>⑤重劃區內頁</t>
        </is>
      </c>
      <c r="B292" s="5" t="inlineStr">
        <is>
          <t>lienchiang/僅公共建設類.html</t>
        </is>
      </c>
      <c r="C292" s="5" t="inlineStr">
        <is>
          <t>僅公共建設類.html</t>
        </is>
      </c>
      <c r="D292" s="5" t="inlineStr">
        <is>
          <t>待產出</t>
        </is>
      </c>
      <c r="E292" s="5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7" r:id="rId145"/>
    <hyperlink xmlns:r="http://schemas.openxmlformats.org/officeDocument/2006/relationships" ref="E148" r:id="rId14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19" customWidth="1" min="4" max="4"/>
    <col width="36" customWidth="1" min="5" max="5"/>
  </cols>
  <sheetData>
    <row r="1">
      <c r="A1" s="1" t="inlineStr">
        <is>
          <t>快照sheet名稱</t>
        </is>
      </c>
      <c r="B1" s="1" t="inlineStr">
        <is>
          <t>原用途概述</t>
        </is>
      </c>
      <c r="C1" s="1" t="inlineStr">
        <is>
          <t>重建版對應sheet</t>
        </is>
      </c>
      <c r="D1" s="1" t="inlineStr">
        <is>
          <t>處置</t>
        </is>
      </c>
      <c r="E1" s="1" t="inlineStr">
        <is>
          <t>備註</t>
        </is>
      </c>
    </row>
    <row r="2">
      <c r="A2" s="5" t="inlineStr">
        <is>
          <t>TOC</t>
        </is>
      </c>
      <c r="B2" s="5" t="inlineStr">
        <is>
          <t>快照入口目錄，依分類列出各 sheet 用途說明</t>
        </is>
      </c>
      <c r="C2" s="5" t="inlineStr">
        <is>
          <t>連結TOC</t>
        </is>
      </c>
      <c r="D2" s="5" t="inlineStr">
        <is>
          <t>內容已併入重建版</t>
        </is>
      </c>
      <c r="E2" s="5" t="inlineStr">
        <is>
          <t>重建版 TOC 改以超連結分區導覽</t>
        </is>
      </c>
    </row>
    <row r="3">
      <c r="A3" s="5" t="inlineStr">
        <is>
          <t>規格書</t>
        </is>
      </c>
      <c r="B3" s="5" t="inlineStr">
        <is>
          <t>使用說明及定義，頁籤顏色分類規範</t>
        </is>
      </c>
      <c r="C3" s="5" t="inlineStr">
        <is>
          <t>研究說明</t>
        </is>
      </c>
      <c r="D3" s="5" t="inlineStr">
        <is>
          <t>內容已併入重建版</t>
        </is>
      </c>
      <c r="E3" s="5" t="inlineStr">
        <is>
          <t>保留原檔供歷史參考</t>
        </is>
      </c>
    </row>
    <row r="4">
      <c r="A4" s="5" t="inlineStr">
        <is>
          <t>指令與產出清單</t>
        </is>
      </c>
      <c r="B4" s="5" t="inlineStr">
        <is>
          <t>建置指令與產出對照，含完成狀態</t>
        </is>
      </c>
      <c r="C4" s="5" t="inlineStr">
        <is>
          <t>研究說明</t>
        </is>
      </c>
      <c r="D4" s="5" t="inlineStr">
        <is>
          <t>保留原檔</t>
        </is>
      </c>
      <c r="E4" s="5" t="inlineStr">
        <is>
          <t>歷史建置紀錄，重建版不重複</t>
        </is>
      </c>
    </row>
    <row r="5">
      <c r="A5" s="5" t="inlineStr">
        <is>
          <t>網站參數</t>
        </is>
      </c>
      <c r="B5" s="5" t="inlineStr">
        <is>
          <t>全站參數/版型/命名/路徑設定</t>
        </is>
      </c>
      <c r="C5" s="5" t="inlineStr">
        <is>
          <t>研究說明</t>
        </is>
      </c>
      <c r="D5" s="5" t="inlineStr">
        <is>
          <t>保留原檔</t>
        </is>
      </c>
      <c r="E5" s="5" t="inlineStr">
        <is>
          <t>保留原檔供開發參考</t>
        </is>
      </c>
    </row>
    <row r="6">
      <c r="A6" s="5" t="inlineStr">
        <is>
          <t>檔案清單</t>
        </is>
      </c>
      <c r="B6" s="5" t="inlineStr">
        <is>
          <t>根目錄檔案與目錄結構說明</t>
        </is>
      </c>
      <c r="C6" s="5" t="inlineStr">
        <is>
          <t>檔案清單_網站目錄樹</t>
        </is>
      </c>
      <c r="D6" s="5" t="inlineStr">
        <is>
          <t>內容已併入重建版</t>
        </is>
      </c>
      <c r="E6" s="5" t="inlineStr">
        <is>
          <t>重建版擴充為五類分類完整樹狀</t>
        </is>
      </c>
    </row>
    <row r="7">
      <c r="A7" s="5" t="inlineStr">
        <is>
          <t>參數表</t>
        </is>
      </c>
      <c r="B7" s="5" t="inlineStr">
        <is>
          <t>DATA 欄位定義與開發類型規則</t>
        </is>
      </c>
      <c r="C7" s="5" t="inlineStr">
        <is>
          <t>研究說明</t>
        </is>
      </c>
      <c r="D7" s="5" t="inlineStr">
        <is>
          <t>保留原檔</t>
        </is>
      </c>
      <c r="E7" s="5" t="inlineStr">
        <is>
          <t>保留原檔供開發參考</t>
        </is>
      </c>
    </row>
    <row r="8">
      <c r="A8" s="5" t="inlineStr">
        <is>
          <t>UI元件與參數表</t>
        </is>
      </c>
      <c r="B8" s="5" t="inlineStr">
        <is>
          <t>Megamenu 元件、CSS 選擇器與行為定義</t>
        </is>
      </c>
      <c r="C8" s="5" t="inlineStr">
        <is>
          <t>研究說明</t>
        </is>
      </c>
      <c r="D8" s="5" t="inlineStr">
        <is>
          <t>保留原檔</t>
        </is>
      </c>
      <c r="E8" s="5" t="inlineStr">
        <is>
          <t>前端技術參數，非資料庫範疇</t>
        </is>
      </c>
    </row>
    <row r="9">
      <c r="A9" s="5" t="inlineStr">
        <is>
          <t>全站重劃區清單</t>
        </is>
      </c>
      <c r="B9" s="5" t="inlineStr">
        <is>
          <t>146 列重劃區一覽（序/縣市/編碼/類型/案名/狀態）</t>
        </is>
      </c>
      <c r="C9" s="5" t="inlineStr">
        <is>
          <t>主庫_重劃區146區</t>
        </is>
      </c>
      <c r="D9" s="5" t="inlineStr">
        <is>
          <t>內容已併入重建版</t>
        </is>
      </c>
      <c r="E9" s="5" t="inlineStr">
        <is>
          <t>重建版增加建案數公式與 notes 欄</t>
        </is>
      </c>
    </row>
    <row r="10">
      <c r="A10" s="5" t="inlineStr">
        <is>
          <t>縣市索引</t>
        </is>
      </c>
      <c r="B10" s="5" t="inlineStr">
        <is>
          <t>22 縣市一覽（序/縣市/slug/區域/編碼/目錄頁）</t>
        </is>
      </c>
      <c r="C10" s="5" t="inlineStr">
        <is>
          <t>縣市索引_22縣市</t>
        </is>
      </c>
      <c r="D10" s="5" t="inlineStr">
        <is>
          <t>內容已併入重建版</t>
        </is>
      </c>
      <c r="E10" s="5" t="inlineStr">
        <is>
          <t>重建版增加 COUNTIF 統計與五檔連結</t>
        </is>
      </c>
    </row>
    <row r="11">
      <c r="A11" s="5" t="inlineStr">
        <is>
          <t>缺圖清單</t>
        </is>
      </c>
      <c r="B11" s="5" t="inlineStr">
        <is>
          <t>待補圖片項目清單（縣市/類型/優先序）</t>
        </is>
      </c>
      <c r="C11" s="5" t="inlineStr">
        <is>
          <t>(無直接對應)</t>
        </is>
      </c>
      <c r="D11" s="5" t="inlineStr">
        <is>
          <t>保留原檔</t>
        </is>
      </c>
      <c r="E11" s="5" t="inlineStr">
        <is>
          <t>視覺素材待辦，非資料庫範疇</t>
        </is>
      </c>
    </row>
    <row r="12">
      <c r="A12" s="5" t="inlineStr">
        <is>
          <t>更新SOP</t>
        </is>
      </c>
      <c r="B12" s="5" t="inlineStr">
        <is>
          <t>網站更新時須同步的 Excel 位置與流程</t>
        </is>
      </c>
      <c r="C12" s="5" t="inlineStr">
        <is>
          <t>研究說明</t>
        </is>
      </c>
      <c r="D12" s="5" t="inlineStr">
        <is>
          <t>保留原檔</t>
        </is>
      </c>
      <c r="E12" s="5" t="inlineStr">
        <is>
          <t>維運流程文件</t>
        </is>
      </c>
    </row>
    <row r="13">
      <c r="A13" s="5" t="inlineStr">
        <is>
          <t>todolist</t>
        </is>
      </c>
      <c r="B13" s="5" t="inlineStr">
        <is>
          <t>待辦事項（撰寫/資料/市場數據）</t>
        </is>
      </c>
      <c r="C13" s="5" t="inlineStr">
        <is>
          <t>(無直接對應)</t>
        </is>
      </c>
      <c r="D13" s="5" t="inlineStr">
        <is>
          <t>保留原檔</t>
        </is>
      </c>
      <c r="E13" s="5" t="inlineStr">
        <is>
          <t>任務管理紀錄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6" t="inlineStr">
        <is>
          <t>一、資料來源</t>
        </is>
      </c>
      <c r="B2" s="7" t="inlineStr"/>
    </row>
    <row r="3">
      <c r="A3" s="5" t="inlineStr">
        <is>
          <t>主資料 JSON</t>
        </is>
      </c>
      <c r="B3" s="5" t="inlineStr">
        <is>
          <t>_builds_data/_merged_builds.json（146 重劃區、642 建案）</t>
        </is>
      </c>
    </row>
    <row r="4">
      <c r="A4" s="5" t="inlineStr">
        <is>
          <t>既有 Excel ①</t>
        </is>
      </c>
      <c r="B4" s="5" t="inlineStr">
        <is>
          <t>台灣22縣市重劃區_全站資料庫.xlsx（15 sheets）</t>
        </is>
      </c>
    </row>
    <row r="5">
      <c r="A5" s="5" t="inlineStr">
        <is>
          <t>既有 Excel ②</t>
        </is>
      </c>
      <c r="B5" s="5" t="inlineStr">
        <is>
          <t>台灣22縣市重劃區_全站資料庫_改前快照_20261017.xlsx（12 sheets）</t>
        </is>
      </c>
    </row>
    <row r="6">
      <c r="A6" s="5" t="inlineStr">
        <is>
          <t>既有 Excel ③</t>
        </is>
      </c>
      <c r="B6" s="5" t="inlineStr">
        <is>
          <t>台灣22縣市重劃區_全站資料庫_整合版.xlsx（18 sheets）</t>
        </is>
      </c>
    </row>
    <row r="7">
      <c r="A7" s="5" t="inlineStr"/>
      <c r="B7" s="5" t="inlineStr"/>
    </row>
    <row r="8">
      <c r="A8" s="6" t="inlineStr">
        <is>
          <t>二、欄位定義</t>
        </is>
      </c>
      <c r="B8" s="7" t="inlineStr"/>
    </row>
    <row r="9">
      <c r="A9" s="5" t="inlineStr">
        <is>
          <t>seq</t>
        </is>
      </c>
      <c r="B9" s="5" t="inlineStr">
        <is>
          <t>重劃區流水序號</t>
        </is>
      </c>
    </row>
    <row r="10">
      <c r="A10" s="5" t="inlineStr">
        <is>
          <t>county / 縣市</t>
        </is>
      </c>
      <c r="B10" s="5" t="inlineStr">
        <is>
          <t>直轄市或縣市名（繁體）</t>
        </is>
      </c>
    </row>
    <row r="11">
      <c r="A11" s="5" t="inlineStr">
        <is>
          <t>code</t>
        </is>
      </c>
      <c r="B11" s="5" t="inlineStr">
        <is>
          <t>縣市行政區編碼（如 A21001）</t>
        </is>
      </c>
    </row>
    <row r="12">
      <c r="A12" s="5" t="inlineStr">
        <is>
          <t>slug</t>
        </is>
      </c>
      <c r="B12" s="5" t="inlineStr">
        <is>
          <t>縣目錄英文代碼（如 taipei）</t>
        </is>
      </c>
    </row>
    <row r="13">
      <c r="A13" s="5" t="inlineStr">
        <is>
          <t>region</t>
        </is>
      </c>
      <c r="B13" s="5" t="inlineStr">
        <is>
          <t>地理分區（六大直轄市/北部/中部/南部/東部/離島）</t>
        </is>
      </c>
    </row>
    <row r="14">
      <c r="A14" s="5" t="inlineStr">
        <is>
          <t>type</t>
        </is>
      </c>
      <c r="B14" s="5" t="inlineStr">
        <is>
          <t>開發類型：公辦市地重劃／自辦市地重劃／區段徵收／都市更新</t>
        </is>
      </c>
    </row>
    <row r="15">
      <c r="A15" s="5" t="inlineStr">
        <is>
          <t>type_file</t>
        </is>
      </c>
      <c r="B15" s="5" t="inlineStr">
        <is>
          <t>對應類型內頁檔名</t>
        </is>
      </c>
    </row>
    <row r="16">
      <c r="A16" s="5" t="inlineStr">
        <is>
          <t>zone</t>
        </is>
      </c>
      <c r="B16" s="5" t="inlineStr">
        <is>
          <t>重劃區名稱</t>
        </is>
      </c>
    </row>
    <row r="17">
      <c r="A17" s="5" t="inlineStr">
        <is>
          <t>research_status</t>
        </is>
      </c>
      <c r="B17" s="5" t="inlineStr">
        <is>
          <t>研究狀態：researched（已研究）／no_named_zone（無具名重劃區）／no_data（無資料）</t>
        </is>
      </c>
    </row>
    <row r="18">
      <c r="A18" s="5" t="inlineStr">
        <is>
          <t>notes</t>
        </is>
      </c>
      <c r="B18" s="5" t="inlineStr">
        <is>
          <t>備註與研究判斷說明</t>
        </is>
      </c>
    </row>
    <row r="19">
      <c r="A19" s="5" t="inlineStr">
        <is>
          <t>builds[].name</t>
        </is>
      </c>
      <c r="B19" s="5" t="inlineStr">
        <is>
          <t>建案名稱</t>
        </is>
      </c>
    </row>
    <row r="20">
      <c r="A20" s="5" t="inlineStr">
        <is>
          <t>builds[].builder</t>
        </is>
      </c>
      <c r="B20" s="5" t="inlineStr">
        <is>
          <t>建商</t>
        </is>
      </c>
    </row>
    <row r="21">
      <c r="A21" s="5" t="inlineStr">
        <is>
          <t>builds[].units</t>
        </is>
      </c>
      <c r="B21" s="5" t="inlineStr">
        <is>
          <t>戶數</t>
        </is>
      </c>
    </row>
    <row r="22">
      <c r="A22" s="5" t="inlineStr">
        <is>
          <t>builds[].area_range</t>
        </is>
      </c>
      <c r="B22" s="5" t="inlineStr">
        <is>
          <t>坪數區間</t>
        </is>
      </c>
    </row>
    <row r="23">
      <c r="A23" s="5" t="inlineStr">
        <is>
          <t>builds[].price_range</t>
        </is>
      </c>
      <c r="B23" s="5" t="inlineStr">
        <is>
          <t>單價區間（萬/坪）</t>
        </is>
      </c>
    </row>
    <row r="24">
      <c r="A24" s="5" t="inlineStr">
        <is>
          <t>builds[].year</t>
        </is>
      </c>
      <c r="B24" s="5" t="inlineStr">
        <is>
          <t>年份</t>
        </is>
      </c>
    </row>
    <row r="25">
      <c r="A25" s="5" t="inlineStr">
        <is>
          <t>builds[].status</t>
        </is>
      </c>
      <c r="B25" s="5" t="inlineStr">
        <is>
          <t>建案狀態（預售/已完工/興建中等）</t>
        </is>
      </c>
    </row>
    <row r="26">
      <c r="A26" s="5" t="inlineStr">
        <is>
          <t>builds[].source_level</t>
        </is>
      </c>
      <c r="B26" s="5" t="inlineStr">
        <is>
          <t>來源等級：L1（官方地政）／L2（官方次級）／L3（市場資料）</t>
        </is>
      </c>
    </row>
    <row r="27">
      <c r="A27" s="5" t="inlineStr">
        <is>
          <t>builds[].source_urls</t>
        </is>
      </c>
      <c r="B27" s="5" t="inlineStr">
        <is>
          <t>來源網址列表</t>
        </is>
      </c>
    </row>
    <row r="28">
      <c r="A28" s="5" t="inlineStr"/>
      <c r="B28" s="5" t="inlineStr"/>
    </row>
    <row r="29">
      <c r="A29" s="6" t="inlineStr">
        <is>
          <t>三、統計</t>
        </is>
      </c>
      <c r="B29" s="7" t="inlineStr"/>
    </row>
    <row r="30">
      <c r="A30" s="5" t="inlineStr">
        <is>
          <t>重劃區總數</t>
        </is>
      </c>
      <c r="B30" s="5">
        <f>COUNTA(主庫_重劃區146區!$H$2:$H$147)</f>
        <v/>
      </c>
    </row>
    <row r="31">
      <c r="A31" s="5" t="inlineStr">
        <is>
          <t>建案總數</t>
        </is>
      </c>
      <c r="B31" s="5">
        <f>COUNTA(建案總表_642案!$G$2:$G$643)</f>
        <v/>
      </c>
    </row>
    <row r="32">
      <c r="A32" s="5" t="inlineStr">
        <is>
          <t>縣市數</t>
        </is>
      </c>
      <c r="B32" s="5" t="inlineStr">
        <is>
          <t>22</t>
        </is>
      </c>
    </row>
    <row r="33">
      <c r="A33" s="5" t="inlineStr">
        <is>
          <t>公辦市地重劃</t>
        </is>
      </c>
      <c r="B33" s="5">
        <f>COUNTIF(主庫_重劃區146區!$F$2:$F$147,"公辦市地重劃")</f>
        <v/>
      </c>
    </row>
    <row r="34">
      <c r="A34" s="5" t="inlineStr">
        <is>
          <t>自辦市地重劃</t>
        </is>
      </c>
      <c r="B34" s="5">
        <f>COUNTIF(主庫_重劃區146區!$F$2:$F$147,"自辦市地重劃")</f>
        <v/>
      </c>
    </row>
    <row r="35">
      <c r="A35" s="5" t="inlineStr">
        <is>
          <t>區段徵收</t>
        </is>
      </c>
      <c r="B35" s="5">
        <f>COUNTIF(主庫_重劃區146區!$F$2:$F$147,"區段徵收")</f>
        <v/>
      </c>
    </row>
    <row r="36">
      <c r="A36" s="5" t="inlineStr">
        <is>
          <t>都市更新</t>
        </is>
      </c>
      <c r="B36" s="5">
        <f>COUNTIF(主庫_重劃區146區!$F$2:$F$147,"都市更新")</f>
        <v/>
      </c>
    </row>
    <row r="37">
      <c r="A37" s="5" t="inlineStr">
        <is>
          <t>researched</t>
        </is>
      </c>
      <c r="B37" s="5">
        <f>COUNTIF(主庫_重劃區146區!$I$2:$I$147,"researched")</f>
        <v/>
      </c>
    </row>
    <row r="38">
      <c r="A38" s="5" t="inlineStr">
        <is>
          <t>no_named_zone</t>
        </is>
      </c>
      <c r="B38" s="5">
        <f>COUNTIF(主庫_重劃區146區!$I$2:$I$147,"no_named_zone")</f>
        <v/>
      </c>
    </row>
    <row r="39">
      <c r="A39" s="5" t="inlineStr">
        <is>
          <t>no_data</t>
        </is>
      </c>
      <c r="B39" s="5">
        <f>COUNTIF(主庫_重劃區146區!$I$2:$I$147,"no_data")</f>
        <v/>
      </c>
    </row>
    <row r="40">
      <c r="A40" s="5" t="inlineStr"/>
      <c r="B40" s="5" t="inlineStr"/>
    </row>
    <row r="41">
      <c r="A41" s="6" t="inlineStr">
        <is>
          <t>四、方法與用語說明</t>
        </is>
      </c>
      <c r="B41" s="7" t="inlineStr"/>
    </row>
    <row r="42">
      <c r="A42" s="5" t="inlineStr">
        <is>
          <t>產生日期</t>
        </is>
      </c>
      <c r="B42" s="5" t="inlineStr">
        <is>
          <t>2026-10-17</t>
        </is>
      </c>
    </row>
    <row r="43">
      <c r="A43" s="5" t="inlineStr">
        <is>
          <t>建置方式</t>
        </is>
      </c>
      <c r="B43" s="5" t="inlineStr">
        <is>
          <t>openpyxl 從 _merged_builds.json 逐筆匯入，未臆造資料</t>
        </is>
      </c>
    </row>
    <row r="44">
      <c r="A44" s="5" t="inlineStr">
        <is>
          <t>公式策略</t>
        </is>
      </c>
      <c r="B44" s="5" t="inlineStr">
        <is>
          <t>建案數/重劃區數/類型分布均以 COUNTIF/COUNTIFS 公式驅動，非硬編碼</t>
        </is>
      </c>
    </row>
    <row r="45">
      <c r="A45" s="5" t="inlineStr">
        <is>
          <t>用語</t>
        </is>
      </c>
      <c r="B45" s="5" t="inlineStr">
        <is>
          <t>重劃區／建案／戶數／坪數／單價／區段徵收／都市更新（台灣慣用語）</t>
        </is>
      </c>
    </row>
    <row r="46">
      <c r="A46" s="5" t="inlineStr"/>
      <c r="B46" s="5" t="inlineStr"/>
    </row>
    <row r="47">
      <c r="A47" s="6" t="inlineStr">
        <is>
          <t>五、已知限制</t>
        </is>
      </c>
      <c r="B47" s="7" t="inlineStr"/>
    </row>
    <row r="48">
      <c r="A48" s="5" t="inlineStr">
        <is>
          <t>重劃區獨立內頁</t>
        </is>
      </c>
      <c r="B48" s="5" t="inlineStr">
        <is>
          <t>146 個目標檔名已預留（slug/zone.html），實體頁面由另一任務產出中；本表標註「待產出」</t>
        </is>
      </c>
    </row>
    <row r="49">
      <c r="A49" s="5" t="inlineStr">
        <is>
          <t>已存在內頁</t>
        </is>
      </c>
      <c r="B49" s="5" t="inlineStr">
        <is>
          <t>僅 2 個重劃區內頁已存在（taipei/南港公辦重劃、taipei/內湖小型公辦重劃），其餘 144 待產出</t>
        </is>
      </c>
    </row>
    <row r="50">
      <c r="A50" s="5" t="inlineStr">
        <is>
          <t>百科頁命名</t>
        </is>
      </c>
      <c r="B50" s="5" t="inlineStr">
        <is>
          <t>多數縣市為「百科-{縣市}重劃區與建案.html」，桃園市為 encyclopedia.html，新北市為「新北市重劃區與建案.html」</t>
        </is>
      </c>
    </row>
    <row r="51">
      <c r="A51" s="5" t="inlineStr">
        <is>
          <t>資料時效</t>
        </is>
      </c>
      <c r="B51" s="5" t="inlineStr">
        <is>
          <t>建案價格與狀態為截至 JSON 彙整時點，L3 市場數據可能隨時變動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2026-10-17T10:00:51Z</dcterms:created>
  <dcterms:modified xmlns:dcterms="http://purl.org/dc/terms/" xmlns:xsi="http://www.w3.org/2001/XMLSchema-instance" xsi:type="dcterms:W3CDTF">2026-10-17T11:39:50Z</dcterms:modified>
</cp:coreProperties>
</file>